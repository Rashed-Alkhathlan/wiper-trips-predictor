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clennan\Desktop\Missing Daily Reports\"/>
    </mc:Choice>
  </mc:AlternateContent>
  <xr:revisionPtr revIDLastSave="0" documentId="8_{344A3D3D-3834-45C7-B7B8-09220176F8D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ily Report" sheetId="2" r:id="rId1"/>
    <sheet name="Data" sheetId="4" state="hidden" r:id="rId2"/>
    <sheet name="WellEz Log" sheetId="6" state="hidden" r:id="rId3"/>
  </sheets>
  <definedNames>
    <definedName name="_xlnm.Print_Area" localSheetId="0">'Daily Report'!$B$1:$AG$67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E181" i="4" l="1"/>
  <c r="EE175" i="4"/>
  <c r="EE159" i="4"/>
  <c r="EE154" i="4"/>
  <c r="EE138" i="4"/>
  <c r="EE133" i="4"/>
  <c r="EE117" i="4"/>
  <c r="EE111" i="4"/>
  <c r="FK105" i="4"/>
  <c r="FH105" i="4"/>
  <c r="FK104" i="4"/>
  <c r="FH104" i="4"/>
  <c r="FK103" i="4"/>
  <c r="FH103" i="4"/>
  <c r="EE103" i="4"/>
  <c r="FK102" i="4"/>
  <c r="FH102" i="4"/>
  <c r="FK101" i="4"/>
  <c r="FH101" i="4"/>
  <c r="FK100" i="4"/>
  <c r="FH100" i="4"/>
  <c r="FK99" i="4"/>
  <c r="FH99" i="4"/>
  <c r="FK98" i="4"/>
  <c r="FH98" i="4"/>
  <c r="FK97" i="4"/>
  <c r="FH97" i="4"/>
  <c r="FK96" i="4"/>
  <c r="FH96" i="4"/>
  <c r="FK95" i="4"/>
  <c r="FH95" i="4"/>
  <c r="FK94" i="4"/>
  <c r="FH94" i="4"/>
  <c r="FK93" i="4"/>
  <c r="FH93" i="4"/>
  <c r="FK92" i="4"/>
  <c r="FH92" i="4"/>
  <c r="FK91" i="4"/>
  <c r="FH91" i="4"/>
  <c r="FK90" i="4"/>
  <c r="FH90" i="4"/>
  <c r="EE90" i="4"/>
  <c r="FK89" i="4"/>
  <c r="FH89" i="4"/>
  <c r="FK88" i="4"/>
  <c r="FH88" i="4"/>
  <c r="FK87" i="4"/>
  <c r="FH87" i="4"/>
  <c r="EE87" i="4"/>
  <c r="FK86" i="4"/>
  <c r="FH86" i="4"/>
  <c r="FK85" i="4"/>
  <c r="FH85" i="4"/>
  <c r="FK84" i="4"/>
  <c r="FH84" i="4"/>
  <c r="FK83" i="4"/>
  <c r="FH83" i="4"/>
  <c r="FK82" i="4"/>
  <c r="FH82" i="4"/>
  <c r="FK81" i="4"/>
  <c r="FH81" i="4"/>
  <c r="FK80" i="4"/>
  <c r="FH80" i="4"/>
  <c r="FK79" i="4"/>
  <c r="FH79" i="4"/>
  <c r="FK78" i="4"/>
  <c r="FH78" i="4"/>
  <c r="FK77" i="4"/>
  <c r="FH77" i="4"/>
  <c r="EE77" i="4"/>
  <c r="FK76" i="4"/>
  <c r="FH76" i="4"/>
  <c r="FK75" i="4"/>
  <c r="FH75" i="4"/>
  <c r="FK74" i="4"/>
  <c r="FH74" i="4"/>
  <c r="EE74" i="4"/>
  <c r="FK73" i="4"/>
  <c r="FH73" i="4"/>
  <c r="FK72" i="4"/>
  <c r="FH72" i="4"/>
  <c r="FK71" i="4"/>
  <c r="FH71" i="4"/>
  <c r="FK70" i="4"/>
  <c r="FH70" i="4"/>
  <c r="FK69" i="4"/>
  <c r="FH69" i="4"/>
  <c r="FK68" i="4"/>
  <c r="FH68" i="4"/>
  <c r="FK67" i="4"/>
  <c r="FH67" i="4"/>
  <c r="FK66" i="4"/>
  <c r="FH66" i="4"/>
  <c r="FK65" i="4"/>
  <c r="FH65" i="4"/>
  <c r="FK64" i="4"/>
  <c r="FH64" i="4"/>
  <c r="FK63" i="4"/>
  <c r="FH63" i="4"/>
  <c r="FK62" i="4"/>
  <c r="FH62" i="4"/>
  <c r="FK61" i="4"/>
  <c r="FH61" i="4"/>
  <c r="EE61" i="4"/>
  <c r="FK60" i="4"/>
  <c r="FH60" i="4"/>
  <c r="FK59" i="4"/>
  <c r="FH59" i="4"/>
  <c r="FK58" i="4"/>
  <c r="FH58" i="4"/>
  <c r="FK57" i="4"/>
  <c r="FH57" i="4"/>
  <c r="FK56" i="4"/>
  <c r="FH56" i="4"/>
  <c r="FK55" i="4"/>
  <c r="FH55" i="4"/>
  <c r="FK54" i="4"/>
  <c r="FH54" i="4"/>
  <c r="FK53" i="4"/>
  <c r="FH53" i="4"/>
  <c r="FK52" i="4"/>
  <c r="FH52" i="4"/>
  <c r="FK51" i="4"/>
  <c r="FH51" i="4"/>
  <c r="FK50" i="4"/>
  <c r="FH50" i="4"/>
  <c r="FK49" i="4"/>
  <c r="FH49" i="4"/>
  <c r="FK48" i="4"/>
  <c r="FH48" i="4"/>
  <c r="FK47" i="4"/>
  <c r="FH47" i="4"/>
  <c r="FK46" i="4"/>
  <c r="FH46" i="4"/>
  <c r="FK45" i="4"/>
  <c r="FH45" i="4"/>
  <c r="FK44" i="4"/>
  <c r="FH44" i="4"/>
  <c r="FK43" i="4"/>
  <c r="FH43" i="4"/>
  <c r="FK42" i="4"/>
  <c r="FH42" i="4"/>
  <c r="FK41" i="4"/>
  <c r="FH41" i="4"/>
  <c r="FK40" i="4"/>
  <c r="FH40" i="4"/>
  <c r="FK39" i="4"/>
  <c r="FH39" i="4"/>
  <c r="EE39" i="4"/>
  <c r="FK38" i="4"/>
  <c r="FH38" i="4"/>
  <c r="FK37" i="4"/>
  <c r="FH37" i="4"/>
  <c r="FK36" i="4"/>
  <c r="FH36" i="4"/>
  <c r="FK35" i="4"/>
  <c r="FH35" i="4"/>
  <c r="FK34" i="4"/>
  <c r="FH34" i="4"/>
  <c r="FK33" i="4"/>
  <c r="FH33" i="4"/>
  <c r="FK32" i="4"/>
  <c r="FH32" i="4"/>
  <c r="FK31" i="4"/>
  <c r="FH31" i="4"/>
  <c r="FK30" i="4"/>
  <c r="FH30" i="4"/>
  <c r="FK29" i="4"/>
  <c r="FH29" i="4"/>
  <c r="FK28" i="4"/>
  <c r="FH28" i="4"/>
  <c r="FK27" i="4"/>
  <c r="FH27" i="4"/>
  <c r="FK26" i="4"/>
  <c r="FH26" i="4"/>
  <c r="EE26" i="4"/>
  <c r="FK25" i="4"/>
  <c r="FH25" i="4"/>
  <c r="FK24" i="4"/>
  <c r="FH24" i="4"/>
  <c r="FK23" i="4"/>
  <c r="FH23" i="4"/>
  <c r="EE23" i="4"/>
  <c r="FK22" i="4"/>
  <c r="FH22" i="4"/>
  <c r="FK21" i="4"/>
  <c r="FH21" i="4"/>
  <c r="FK20" i="4"/>
  <c r="FH20" i="4"/>
  <c r="FK19" i="4"/>
  <c r="FH19" i="4"/>
  <c r="FK18" i="4"/>
  <c r="FH18" i="4"/>
  <c r="FK17" i="4"/>
  <c r="FH17" i="4"/>
  <c r="FK16" i="4"/>
  <c r="FH16" i="4"/>
  <c r="FK15" i="4"/>
  <c r="FH15" i="4"/>
  <c r="FK14" i="4"/>
  <c r="FH14" i="4"/>
  <c r="FK13" i="4"/>
  <c r="FH13" i="4"/>
  <c r="EE13" i="4"/>
  <c r="FK12" i="4"/>
  <c r="FH12" i="4"/>
  <c r="FP11" i="4"/>
  <c r="AC66" i="2" s="1"/>
  <c r="FO11" i="4"/>
  <c r="X66" i="2" s="1"/>
  <c r="FK11" i="4"/>
  <c r="FH11" i="4"/>
  <c r="FP10" i="4"/>
  <c r="FN10" i="4"/>
  <c r="FM10" i="4"/>
  <c r="R65" i="2" s="1"/>
  <c r="FK10" i="4"/>
  <c r="FH10" i="4"/>
  <c r="FO9" i="4"/>
  <c r="X64" i="2" s="1"/>
  <c r="FN9" i="4"/>
  <c r="U64" i="2" s="1"/>
  <c r="FK9" i="4"/>
  <c r="FH9" i="4"/>
  <c r="FM8" i="4"/>
  <c r="R63" i="2" s="1"/>
  <c r="FK8" i="4"/>
  <c r="FP8" i="4" s="1"/>
  <c r="AC63" i="2" s="1"/>
  <c r="FH8" i="4"/>
  <c r="FP7" i="4"/>
  <c r="M66" i="2" s="1"/>
  <c r="FK7" i="4"/>
  <c r="FH7" i="4"/>
  <c r="FO7" i="4" s="1"/>
  <c r="H66" i="2" s="1"/>
  <c r="AE7" i="4"/>
  <c r="AD7" i="4"/>
  <c r="AC7" i="4"/>
  <c r="AB7" i="4"/>
  <c r="FP6" i="4"/>
  <c r="FN6" i="4"/>
  <c r="E65" i="2" s="1"/>
  <c r="FM6" i="4"/>
  <c r="FK6" i="4"/>
  <c r="FH6" i="4"/>
  <c r="FO5" i="4"/>
  <c r="H64" i="2" s="1"/>
  <c r="FN5" i="4"/>
  <c r="E64" i="2" s="1"/>
  <c r="FK5" i="4"/>
  <c r="FH5" i="4"/>
  <c r="FP4" i="4"/>
  <c r="M63" i="2" s="1"/>
  <c r="FM4" i="4"/>
  <c r="FK4" i="4"/>
  <c r="FH4" i="4"/>
  <c r="FC4" i="4"/>
  <c r="EC4" i="4"/>
  <c r="AA14" i="2" s="1"/>
  <c r="EB4" i="4"/>
  <c r="AK4" i="4"/>
  <c r="AJ4" i="4"/>
  <c r="T9" i="2" s="1"/>
  <c r="AI4" i="4"/>
  <c r="I45" i="2" s="1"/>
  <c r="AH4" i="4"/>
  <c r="AG4" i="4"/>
  <c r="AF4" i="4"/>
  <c r="L10" i="2" s="1"/>
  <c r="AE4" i="4"/>
  <c r="G10" i="2" s="1"/>
  <c r="AD4" i="4"/>
  <c r="AC4" i="4"/>
  <c r="AB4" i="4"/>
  <c r="AC65" i="2"/>
  <c r="U65" i="2"/>
  <c r="M65" i="2"/>
  <c r="B65" i="2"/>
  <c r="B63" i="2"/>
  <c r="Z54" i="2"/>
  <c r="W54" i="2"/>
  <c r="T54" i="2"/>
  <c r="Q54" i="2"/>
  <c r="N54" i="2"/>
  <c r="L54" i="2"/>
  <c r="J54" i="2"/>
  <c r="B54" i="2"/>
  <c r="Z53" i="2"/>
  <c r="W53" i="2"/>
  <c r="T53" i="2"/>
  <c r="Q53" i="2"/>
  <c r="N53" i="2"/>
  <c r="L53" i="2"/>
  <c r="J53" i="2"/>
  <c r="B53" i="2"/>
  <c r="Z52" i="2"/>
  <c r="W52" i="2"/>
  <c r="T52" i="2"/>
  <c r="Q52" i="2"/>
  <c r="N52" i="2"/>
  <c r="L52" i="2"/>
  <c r="J52" i="2"/>
  <c r="B52" i="2"/>
  <c r="Z51" i="2"/>
  <c r="W51" i="2"/>
  <c r="T51" i="2"/>
  <c r="Q51" i="2"/>
  <c r="N51" i="2"/>
  <c r="L51" i="2"/>
  <c r="J51" i="2"/>
  <c r="B51" i="2"/>
  <c r="Z50" i="2"/>
  <c r="W50" i="2"/>
  <c r="T50" i="2"/>
  <c r="Q50" i="2"/>
  <c r="N50" i="2"/>
  <c r="L50" i="2"/>
  <c r="J50" i="2"/>
  <c r="B50" i="2"/>
  <c r="Z49" i="2"/>
  <c r="W49" i="2"/>
  <c r="T49" i="2"/>
  <c r="Q49" i="2"/>
  <c r="N49" i="2"/>
  <c r="L49" i="2"/>
  <c r="J49" i="2"/>
  <c r="B49" i="2"/>
  <c r="AC46" i="2"/>
  <c r="U46" i="2"/>
  <c r="I46" i="2"/>
  <c r="AC43" i="2"/>
  <c r="Y43" i="2"/>
  <c r="U43" i="2"/>
  <c r="P43" i="2"/>
  <c r="K43" i="2"/>
  <c r="F43" i="2"/>
  <c r="B43" i="2"/>
  <c r="AC42" i="2"/>
  <c r="Y42" i="2"/>
  <c r="U42" i="2"/>
  <c r="P42" i="2"/>
  <c r="K42" i="2"/>
  <c r="F42" i="2"/>
  <c r="B42" i="2"/>
  <c r="AC41" i="2"/>
  <c r="Y41" i="2"/>
  <c r="U41" i="2"/>
  <c r="P41" i="2"/>
  <c r="K41" i="2"/>
  <c r="F41" i="2"/>
  <c r="B41" i="2"/>
  <c r="AC40" i="2"/>
  <c r="Y40" i="2"/>
  <c r="U40" i="2"/>
  <c r="P40" i="2"/>
  <c r="K40" i="2"/>
  <c r="F40" i="2"/>
  <c r="B40" i="2"/>
  <c r="U37" i="2"/>
  <c r="H37" i="2"/>
  <c r="U36" i="2"/>
  <c r="H36" i="2"/>
  <c r="F34" i="2"/>
  <c r="AI33" i="2"/>
  <c r="T33" i="2"/>
  <c r="P33" i="2"/>
  <c r="L33" i="2"/>
  <c r="H33" i="2"/>
  <c r="F33" i="2"/>
  <c r="D33" i="2"/>
  <c r="B33" i="2"/>
  <c r="AI32" i="2"/>
  <c r="T32" i="2"/>
  <c r="P32" i="2"/>
  <c r="L32" i="2"/>
  <c r="H32" i="2"/>
  <c r="F32" i="2"/>
  <c r="D32" i="2"/>
  <c r="B32" i="2"/>
  <c r="AI31" i="2"/>
  <c r="T31" i="2"/>
  <c r="P31" i="2"/>
  <c r="L31" i="2"/>
  <c r="H31" i="2"/>
  <c r="F31" i="2"/>
  <c r="D31" i="2"/>
  <c r="B31" i="2"/>
  <c r="AI30" i="2"/>
  <c r="T30" i="2"/>
  <c r="P30" i="2"/>
  <c r="L30" i="2"/>
  <c r="H30" i="2"/>
  <c r="F30" i="2"/>
  <c r="D30" i="2"/>
  <c r="B30" i="2"/>
  <c r="AI29" i="2"/>
  <c r="T29" i="2"/>
  <c r="P29" i="2"/>
  <c r="L29" i="2"/>
  <c r="H29" i="2"/>
  <c r="F29" i="2"/>
  <c r="D29" i="2"/>
  <c r="B29" i="2"/>
  <c r="AI28" i="2"/>
  <c r="T28" i="2"/>
  <c r="P28" i="2"/>
  <c r="L28" i="2"/>
  <c r="H28" i="2"/>
  <c r="F28" i="2"/>
  <c r="D28" i="2"/>
  <c r="B28" i="2"/>
  <c r="AI27" i="2"/>
  <c r="T27" i="2"/>
  <c r="P27" i="2"/>
  <c r="L27" i="2"/>
  <c r="H27" i="2"/>
  <c r="F27" i="2"/>
  <c r="D27" i="2"/>
  <c r="B27" i="2"/>
  <c r="AI26" i="2"/>
  <c r="T26" i="2"/>
  <c r="P26" i="2"/>
  <c r="L26" i="2"/>
  <c r="H26" i="2"/>
  <c r="F26" i="2"/>
  <c r="D26" i="2"/>
  <c r="B26" i="2"/>
  <c r="AI25" i="2"/>
  <c r="T25" i="2"/>
  <c r="P25" i="2"/>
  <c r="L25" i="2"/>
  <c r="H25" i="2"/>
  <c r="F25" i="2"/>
  <c r="D25" i="2"/>
  <c r="B25" i="2"/>
  <c r="AI24" i="2"/>
  <c r="T24" i="2"/>
  <c r="P24" i="2"/>
  <c r="L24" i="2"/>
  <c r="H24" i="2"/>
  <c r="F24" i="2"/>
  <c r="D24" i="2"/>
  <c r="B24" i="2"/>
  <c r="AI23" i="2"/>
  <c r="T23" i="2"/>
  <c r="P23" i="2"/>
  <c r="L23" i="2"/>
  <c r="H23" i="2"/>
  <c r="F23" i="2"/>
  <c r="D23" i="2"/>
  <c r="B23" i="2"/>
  <c r="AI22" i="2"/>
  <c r="T22" i="2"/>
  <c r="P22" i="2"/>
  <c r="L22" i="2"/>
  <c r="H22" i="2"/>
  <c r="F22" i="2"/>
  <c r="D22" i="2"/>
  <c r="B22" i="2"/>
  <c r="AI21" i="2"/>
  <c r="T21" i="2"/>
  <c r="P21" i="2"/>
  <c r="L21" i="2"/>
  <c r="H21" i="2"/>
  <c r="F21" i="2"/>
  <c r="D21" i="2"/>
  <c r="B21" i="2"/>
  <c r="AI20" i="2"/>
  <c r="T20" i="2"/>
  <c r="P20" i="2"/>
  <c r="L20" i="2"/>
  <c r="H20" i="2"/>
  <c r="F20" i="2"/>
  <c r="D20" i="2"/>
  <c r="B20" i="2"/>
  <c r="AI19" i="2"/>
  <c r="T19" i="2"/>
  <c r="P19" i="2"/>
  <c r="L19" i="2"/>
  <c r="H19" i="2"/>
  <c r="F19" i="2"/>
  <c r="D19" i="2"/>
  <c r="B19" i="2"/>
  <c r="AI18" i="2"/>
  <c r="T18" i="2"/>
  <c r="P18" i="2"/>
  <c r="L18" i="2"/>
  <c r="H18" i="2"/>
  <c r="F18" i="2"/>
  <c r="D18" i="2"/>
  <c r="B18" i="2"/>
  <c r="AI17" i="2"/>
  <c r="T17" i="2"/>
  <c r="P17" i="2"/>
  <c r="L17" i="2"/>
  <c r="H17" i="2"/>
  <c r="F17" i="2"/>
  <c r="D17" i="2"/>
  <c r="B17" i="2"/>
  <c r="Q14" i="2"/>
  <c r="G14" i="2"/>
  <c r="AJ12" i="2"/>
  <c r="F12" i="2" s="1"/>
  <c r="AJ11" i="2"/>
  <c r="F11" i="2"/>
  <c r="T10" i="2"/>
  <c r="L9" i="2"/>
  <c r="G9" i="2"/>
  <c r="T8" i="2"/>
  <c r="F8" i="2"/>
  <c r="T7" i="2"/>
  <c r="F7" i="2"/>
  <c r="T6" i="2"/>
  <c r="F6" i="2"/>
  <c r="T5" i="2"/>
  <c r="F5" i="2"/>
  <c r="AD3" i="2"/>
  <c r="AD2" i="2"/>
  <c r="AD1" i="2"/>
  <c r="EE200" i="4" l="1"/>
  <c r="EE196" i="4"/>
  <c r="EE192" i="4"/>
  <c r="EE188" i="4"/>
  <c r="EE184" i="4"/>
  <c r="EE180" i="4"/>
  <c r="EE176" i="4"/>
  <c r="EE172" i="4"/>
  <c r="EE168" i="4"/>
  <c r="EE164" i="4"/>
  <c r="EE160" i="4"/>
  <c r="EE156" i="4"/>
  <c r="EE152" i="4"/>
  <c r="EE148" i="4"/>
  <c r="EE144" i="4"/>
  <c r="EE140" i="4"/>
  <c r="EE136" i="4"/>
  <c r="EE132" i="4"/>
  <c r="EE128" i="4"/>
  <c r="EE124" i="4"/>
  <c r="EE120" i="4"/>
  <c r="EE116" i="4"/>
  <c r="EE112" i="4"/>
  <c r="EE108" i="4"/>
  <c r="EE104" i="4"/>
  <c r="EE100" i="4"/>
  <c r="EE96" i="4"/>
  <c r="EE92" i="4"/>
  <c r="EE88" i="4"/>
  <c r="EE84" i="4"/>
  <c r="EE80" i="4"/>
  <c r="EE76" i="4"/>
  <c r="EE72" i="4"/>
  <c r="EE68" i="4"/>
  <c r="EE64" i="4"/>
  <c r="EE60" i="4"/>
  <c r="EE56" i="4"/>
  <c r="EE52" i="4"/>
  <c r="EE48" i="4"/>
  <c r="EE44" i="4"/>
  <c r="EE40" i="4"/>
  <c r="EE36" i="4"/>
  <c r="EE32" i="4"/>
  <c r="EE28" i="4"/>
  <c r="EE24" i="4"/>
  <c r="EE20" i="4"/>
  <c r="EE16" i="4"/>
  <c r="EE12" i="4"/>
  <c r="EE10" i="4"/>
  <c r="EE8" i="4"/>
  <c r="EE6" i="4"/>
  <c r="EE199" i="4"/>
  <c r="EE198" i="4"/>
  <c r="EE197" i="4"/>
  <c r="EE195" i="4"/>
  <c r="EE190" i="4"/>
  <c r="EE185" i="4"/>
  <c r="EE179" i="4"/>
  <c r="EE174" i="4"/>
  <c r="EE169" i="4"/>
  <c r="EE163" i="4"/>
  <c r="EE158" i="4"/>
  <c r="EE153" i="4"/>
  <c r="EE147" i="4"/>
  <c r="EE142" i="4"/>
  <c r="EE137" i="4"/>
  <c r="EE131" i="4"/>
  <c r="EE126" i="4"/>
  <c r="EE121" i="4"/>
  <c r="EE115" i="4"/>
  <c r="EE110" i="4"/>
  <c r="EE97" i="4"/>
  <c r="EE94" i="4"/>
  <c r="EE91" i="4"/>
  <c r="EE81" i="4"/>
  <c r="EE78" i="4"/>
  <c r="EE75" i="4"/>
  <c r="EE65" i="4"/>
  <c r="EE62" i="4"/>
  <c r="EE59" i="4"/>
  <c r="EE49" i="4"/>
  <c r="EE46" i="4"/>
  <c r="EE43" i="4"/>
  <c r="EE33" i="4"/>
  <c r="EE30" i="4"/>
  <c r="EE27" i="4"/>
  <c r="EE17" i="4"/>
  <c r="EE14" i="4"/>
  <c r="EE11" i="4"/>
  <c r="EE7" i="4"/>
  <c r="EE194" i="4"/>
  <c r="EE189" i="4"/>
  <c r="EE183" i="4"/>
  <c r="EE178" i="4"/>
  <c r="EE173" i="4"/>
  <c r="EE167" i="4"/>
  <c r="EE162" i="4"/>
  <c r="EE157" i="4"/>
  <c r="EE151" i="4"/>
  <c r="EE146" i="4"/>
  <c r="EE141" i="4"/>
  <c r="EE135" i="4"/>
  <c r="EE130" i="4"/>
  <c r="EE125" i="4"/>
  <c r="EE119" i="4"/>
  <c r="EE114" i="4"/>
  <c r="EE109" i="4"/>
  <c r="EE101" i="4"/>
  <c r="EE98" i="4"/>
  <c r="EE95" i="4"/>
  <c r="EE85" i="4"/>
  <c r="EE82" i="4"/>
  <c r="EE79" i="4"/>
  <c r="EE69" i="4"/>
  <c r="EE66" i="4"/>
  <c r="EE63" i="4"/>
  <c r="EE53" i="4"/>
  <c r="EE50" i="4"/>
  <c r="EE47" i="4"/>
  <c r="EE37" i="4"/>
  <c r="EE34" i="4"/>
  <c r="EE31" i="4"/>
  <c r="EE21" i="4"/>
  <c r="EE18" i="4"/>
  <c r="EE15" i="4"/>
  <c r="EE193" i="4"/>
  <c r="EE187" i="4"/>
  <c r="EE182" i="4"/>
  <c r="EE177" i="4"/>
  <c r="EE171" i="4"/>
  <c r="EE166" i="4"/>
  <c r="EE161" i="4"/>
  <c r="EE155" i="4"/>
  <c r="EE150" i="4"/>
  <c r="EE145" i="4"/>
  <c r="EE139" i="4"/>
  <c r="EE134" i="4"/>
  <c r="EE129" i="4"/>
  <c r="EE123" i="4"/>
  <c r="EE118" i="4"/>
  <c r="EE113" i="4"/>
  <c r="EE107" i="4"/>
  <c r="EE105" i="4"/>
  <c r="EE102" i="4"/>
  <c r="EE99" i="4"/>
  <c r="EE89" i="4"/>
  <c r="EE86" i="4"/>
  <c r="EE83" i="4"/>
  <c r="EE73" i="4"/>
  <c r="EE70" i="4"/>
  <c r="EE67" i="4"/>
  <c r="EE57" i="4"/>
  <c r="EE54" i="4"/>
  <c r="EE51" i="4"/>
  <c r="EE41" i="4"/>
  <c r="EE38" i="4"/>
  <c r="EE35" i="4"/>
  <c r="EE25" i="4"/>
  <c r="EE22" i="4"/>
  <c r="EE19" i="4"/>
  <c r="EE4" i="4"/>
  <c r="EE5" i="4"/>
  <c r="EE45" i="4"/>
  <c r="EE58" i="4"/>
  <c r="EE71" i="4"/>
  <c r="EE122" i="4"/>
  <c r="EE143" i="4"/>
  <c r="EE165" i="4"/>
  <c r="EE186" i="4"/>
  <c r="EE9" i="4"/>
  <c r="EE29" i="4"/>
  <c r="EE42" i="4"/>
  <c r="EE55" i="4"/>
  <c r="EE93" i="4"/>
  <c r="EE106" i="4"/>
  <c r="EE127" i="4"/>
  <c r="EE149" i="4"/>
  <c r="EE170" i="4"/>
  <c r="EE191" i="4"/>
  <c r="FM11" i="4"/>
  <c r="R66" i="2" s="1"/>
  <c r="FO10" i="4"/>
  <c r="X65" i="2" s="1"/>
  <c r="FM9" i="4"/>
  <c r="R64" i="2" s="1"/>
  <c r="FO8" i="4"/>
  <c r="X63" i="2" s="1"/>
  <c r="FM7" i="4"/>
  <c r="B66" i="2" s="1"/>
  <c r="FO6" i="4"/>
  <c r="H65" i="2" s="1"/>
  <c r="FM5" i="4"/>
  <c r="B64" i="2" s="1"/>
  <c r="FO4" i="4"/>
  <c r="H63" i="2" s="1"/>
  <c r="FN4" i="4"/>
  <c r="E63" i="2" s="1"/>
  <c r="FP5" i="4"/>
  <c r="M64" i="2" s="1"/>
  <c r="FN7" i="4"/>
  <c r="E66" i="2" s="1"/>
  <c r="FN8" i="4"/>
  <c r="U63" i="2" s="1"/>
  <c r="FP9" i="4"/>
  <c r="AC64" i="2" s="1"/>
  <c r="FN11" i="4"/>
  <c r="U66" i="2" s="1"/>
  <c r="EE2" i="4" l="1"/>
  <c r="EQ4" i="4" s="1"/>
  <c r="EU4" i="4" l="1"/>
  <c r="K57" i="2" s="1"/>
  <c r="ES4" i="4"/>
  <c r="E57" i="2" s="1"/>
  <c r="EQ5" i="4"/>
  <c r="EW4" i="4"/>
  <c r="O57" i="2" s="1"/>
  <c r="ER4" i="4"/>
  <c r="B57" i="2" s="1"/>
  <c r="ET4" i="4"/>
  <c r="H57" i="2" s="1"/>
  <c r="EV4" i="4"/>
  <c r="M57" i="2" s="1"/>
  <c r="EV5" i="4" l="1"/>
  <c r="M58" i="2" s="1"/>
  <c r="ER5" i="4"/>
  <c r="B58" i="2" s="1"/>
  <c r="ES5" i="4"/>
  <c r="E58" i="2" s="1"/>
  <c r="EW5" i="4"/>
  <c r="O58" i="2" s="1"/>
  <c r="ET5" i="4"/>
  <c r="H58" i="2" s="1"/>
  <c r="EQ6" i="4"/>
  <c r="EU5" i="4"/>
  <c r="K58" i="2" s="1"/>
  <c r="ET6" i="4" l="1"/>
  <c r="H59" i="2" s="1"/>
  <c r="EU6" i="4"/>
  <c r="K59" i="2" s="1"/>
  <c r="ES6" i="4"/>
  <c r="E59" i="2" s="1"/>
  <c r="EV6" i="4"/>
  <c r="M59" i="2" s="1"/>
  <c r="EQ7" i="4"/>
  <c r="ER6" i="4"/>
  <c r="B59" i="2" s="1"/>
  <c r="EW6" i="4"/>
  <c r="O59" i="2" s="1"/>
  <c r="EV7" i="4" l="1"/>
  <c r="M60" i="2" s="1"/>
  <c r="ER7" i="4"/>
  <c r="B60" i="2" s="1"/>
  <c r="EU7" i="4"/>
  <c r="K60" i="2" s="1"/>
  <c r="EQ8" i="4"/>
  <c r="ET7" i="4"/>
  <c r="H60" i="2" s="1"/>
  <c r="ES7" i="4"/>
  <c r="E60" i="2" s="1"/>
  <c r="EW7" i="4"/>
  <c r="O60" i="2" s="1"/>
  <c r="ET8" i="4" l="1"/>
  <c r="X57" i="2" s="1"/>
  <c r="EW8" i="4"/>
  <c r="AE57" i="2" s="1"/>
  <c r="ER8" i="4"/>
  <c r="R57" i="2" s="1"/>
  <c r="EQ9" i="4"/>
  <c r="EV8" i="4"/>
  <c r="AC57" i="2" s="1"/>
  <c r="EU8" i="4"/>
  <c r="AA57" i="2" s="1"/>
  <c r="ES8" i="4"/>
  <c r="U57" i="2" s="1"/>
  <c r="EV9" i="4" l="1"/>
  <c r="AC58" i="2" s="1"/>
  <c r="ER9" i="4"/>
  <c r="R58" i="2" s="1"/>
  <c r="ES9" i="4"/>
  <c r="U58" i="2" s="1"/>
  <c r="EW9" i="4"/>
  <c r="AE58" i="2" s="1"/>
  <c r="EQ10" i="4"/>
  <c r="EU9" i="4"/>
  <c r="AA58" i="2" s="1"/>
  <c r="ET9" i="4"/>
  <c r="X58" i="2" s="1"/>
  <c r="ET10" i="4" l="1"/>
  <c r="X59" i="2" s="1"/>
  <c r="EU10" i="4"/>
  <c r="AA59" i="2" s="1"/>
  <c r="ES10" i="4"/>
  <c r="U59" i="2" s="1"/>
  <c r="EQ11" i="4"/>
  <c r="ER10" i="4"/>
  <c r="R59" i="2" s="1"/>
  <c r="EW10" i="4"/>
  <c r="AE59" i="2" s="1"/>
  <c r="EV10" i="4"/>
  <c r="AC59" i="2" s="1"/>
  <c r="EV11" i="4" l="1"/>
  <c r="AC60" i="2" s="1"/>
  <c r="ER11" i="4"/>
  <c r="R60" i="2" s="1"/>
  <c r="EU11" i="4"/>
  <c r="AA60" i="2" s="1"/>
  <c r="ET11" i="4"/>
  <c r="X60" i="2" s="1"/>
  <c r="EW11" i="4"/>
  <c r="AE60" i="2" s="1"/>
  <c r="ES11" i="4"/>
  <c r="U60" i="2" s="1"/>
</calcChain>
</file>

<file path=xl/sharedStrings.xml><?xml version="1.0" encoding="utf-8"?>
<sst xmlns="http://schemas.openxmlformats.org/spreadsheetml/2006/main" count="398" uniqueCount="265">
  <si>
    <t>CONSUMABLES</t>
  </si>
  <si>
    <t>Viscosity</t>
  </si>
  <si>
    <t>EHD</t>
  </si>
  <si>
    <t>Length</t>
  </si>
  <si>
    <t>Drill Water</t>
  </si>
  <si>
    <t>Rig Phone</t>
  </si>
  <si>
    <t>OD</t>
  </si>
  <si>
    <t>Cum Used</t>
  </si>
  <si>
    <t>Safety Meeting Topic</t>
  </si>
  <si>
    <t>Operations</t>
  </si>
  <si>
    <t>Activity Planned</t>
  </si>
  <si>
    <t>Weight</t>
  </si>
  <si>
    <t>Accidents</t>
  </si>
  <si>
    <t>Hrs</t>
  </si>
  <si>
    <t>Grade</t>
  </si>
  <si>
    <t>Remarks</t>
  </si>
  <si>
    <t>ID</t>
  </si>
  <si>
    <t>Btm TD</t>
  </si>
  <si>
    <t>Phasing</t>
  </si>
  <si>
    <t>To</t>
  </si>
  <si>
    <t>Supervisor</t>
  </si>
  <si>
    <t>TVD</t>
  </si>
  <si>
    <t>Name</t>
  </si>
  <si>
    <t>Total Hours</t>
  </si>
  <si>
    <t>Well</t>
  </si>
  <si>
    <t>PBTD TVD</t>
  </si>
  <si>
    <t>Rig</t>
  </si>
  <si>
    <t>TUBING</t>
  </si>
  <si>
    <t>Daily Rec'd</t>
  </si>
  <si>
    <t>Lease</t>
  </si>
  <si>
    <t>Daily Used</t>
  </si>
  <si>
    <t>Fluid Type</t>
  </si>
  <si>
    <t>Cum Rec'd</t>
  </si>
  <si>
    <t>BOP Test Due</t>
  </si>
  <si>
    <t>PERFORATIONS</t>
  </si>
  <si>
    <t>TMD</t>
  </si>
  <si>
    <t>Contractor</t>
  </si>
  <si>
    <t>Present Operations</t>
  </si>
  <si>
    <t>Btm Pipe MD</t>
  </si>
  <si>
    <t>WELL INFO</t>
  </si>
  <si>
    <t>Daily Received</t>
  </si>
  <si>
    <t>Amt on Hand</t>
  </si>
  <si>
    <t>Comment / Change</t>
  </si>
  <si>
    <t>Description</t>
  </si>
  <si>
    <t>Amount on Hand</t>
  </si>
  <si>
    <t>Fluid Loss Cum</t>
  </si>
  <si>
    <t>Last BOP Test</t>
  </si>
  <si>
    <t>Report #</t>
  </si>
  <si>
    <t>From</t>
  </si>
  <si>
    <t>Top TD</t>
  </si>
  <si>
    <t>PBTD TD</t>
  </si>
  <si>
    <t>Fluid Loss Day</t>
  </si>
  <si>
    <t>Density</t>
  </si>
  <si>
    <t>Perf Zone</t>
  </si>
  <si>
    <t>BOP</t>
  </si>
  <si>
    <t>Connection</t>
  </si>
  <si>
    <t>Requested By</t>
  </si>
  <si>
    <t>Field</t>
  </si>
  <si>
    <t>Date</t>
  </si>
  <si>
    <t>Daily Net</t>
  </si>
  <si>
    <t>Type</t>
  </si>
  <si>
    <t>JOB INFO</t>
  </si>
  <si>
    <t>Top MD</t>
  </si>
  <si>
    <t>Bottom MD</t>
  </si>
  <si>
    <t>Internal</t>
  </si>
  <si>
    <t>ACTIVITY TIMES</t>
  </si>
  <si>
    <t>C#1</t>
  </si>
  <si>
    <t>Comp AFE #</t>
  </si>
  <si>
    <t>Comp AFE $</t>
  </si>
  <si>
    <t>Barrett Fontenot</t>
  </si>
  <si>
    <t>Casing Type</t>
  </si>
  <si>
    <t>Casing ID</t>
  </si>
  <si>
    <t>WFE - Casing -Summary Information - Static</t>
  </si>
  <si>
    <t>Top of Cement</t>
  </si>
  <si>
    <t>Date Csg Run</t>
  </si>
  <si>
    <t>Time Csg Run</t>
  </si>
  <si>
    <t>Date Csg Pulled</t>
  </si>
  <si>
    <t>Time Csg Pulled</t>
  </si>
  <si>
    <t>Formation Loss Daily</t>
  </si>
  <si>
    <t xml:space="preserve">Formation Loss </t>
  </si>
  <si>
    <t>Cum</t>
  </si>
  <si>
    <t>Duration</t>
  </si>
  <si>
    <t>Start Time</t>
  </si>
  <si>
    <t>End Time</t>
  </si>
  <si>
    <t>Update Logo for WFE Standard</t>
  </si>
  <si>
    <t>Corrected linking for Casing section</t>
  </si>
  <si>
    <t>Michael Martin</t>
  </si>
  <si>
    <t>Updated for new Standard Style Guide</t>
  </si>
  <si>
    <t>DAILY OPS Values</t>
  </si>
  <si>
    <t>DAILY OPS 1</t>
  </si>
  <si>
    <t>DAILY OPS 2</t>
  </si>
  <si>
    <t>DAILY OPS 3</t>
  </si>
  <si>
    <t>DO Active</t>
  </si>
  <si>
    <t>Update for Daily Ops 1,2,3</t>
  </si>
  <si>
    <t>Stage</t>
  </si>
  <si>
    <t>WELL/JOB INFORMATION</t>
  </si>
  <si>
    <t>COST SUMMARY</t>
  </si>
  <si>
    <t>TIME LOG</t>
  </si>
  <si>
    <t>FLUID DATA</t>
  </si>
  <si>
    <t>CASING</t>
  </si>
  <si>
    <t xml:space="preserve">SAFETY  </t>
  </si>
  <si>
    <t>Stephany Acosta</t>
  </si>
  <si>
    <t>updated consumables from IFE to WFE</t>
  </si>
  <si>
    <t>FRAC</t>
  </si>
  <si>
    <t>Pump Time</t>
  </si>
  <si>
    <t>Avg Rt / PSI</t>
  </si>
  <si>
    <t>Max Rt / PSI</t>
  </si>
  <si>
    <t>Frac Sum - C#10</t>
  </si>
  <si>
    <t>Stage #</t>
  </si>
  <si>
    <t>CPL #1</t>
  </si>
  <si>
    <t>C#27</t>
  </si>
  <si>
    <t>C#6</t>
  </si>
  <si>
    <t>C#8</t>
  </si>
  <si>
    <t>C#7</t>
  </si>
  <si>
    <t>C#9</t>
  </si>
  <si>
    <t>Concatenate</t>
  </si>
  <si>
    <t>Count</t>
  </si>
  <si>
    <t>Records</t>
  </si>
  <si>
    <t>AVG Slurry Rate</t>
  </si>
  <si>
    <t>Max Slurry Rate</t>
  </si>
  <si>
    <t>Max Treat PSI</t>
  </si>
  <si>
    <t>AVG Treat PSI</t>
  </si>
  <si>
    <t>AVG Concat</t>
  </si>
  <si>
    <t>Max Concat</t>
  </si>
  <si>
    <t>Travis Wingerson</t>
  </si>
  <si>
    <t>Phase</t>
  </si>
  <si>
    <t>Activity</t>
  </si>
  <si>
    <t>NPT Code</t>
  </si>
  <si>
    <t>Updated 2019 standard: added Frac stages, plus Phase, Activity, and NPT to time log section</t>
  </si>
  <si>
    <t>Code</t>
  </si>
  <si>
    <t>Daily</t>
  </si>
  <si>
    <t>Completion Intangible</t>
  </si>
  <si>
    <t>Completion Tangible</t>
  </si>
  <si>
    <t>Michael Stoklosa</t>
  </si>
  <si>
    <t>Updated to reflect WFE perf logic</t>
  </si>
  <si>
    <t>Updated WFE perf logic to prevent duplicate entries from showing up</t>
  </si>
  <si>
    <t>Hole Size</t>
  </si>
  <si>
    <t>Updated for standard WFE Perf Fields</t>
  </si>
  <si>
    <t>Perforation Date</t>
  </si>
  <si>
    <t>Shot Density</t>
  </si>
  <si>
    <t>Left Justify all text, center justify all numbers / dates for 2020 standard</t>
  </si>
  <si>
    <t>RPT DATE:</t>
  </si>
  <si>
    <t>RIG:</t>
  </si>
  <si>
    <t>JOB:</t>
  </si>
  <si>
    <t>LEASE:</t>
  </si>
  <si>
    <t>API #</t>
  </si>
  <si>
    <t>WELL NAME:</t>
  </si>
  <si>
    <t>FIELD:</t>
  </si>
  <si>
    <t>AFE #:</t>
  </si>
  <si>
    <t>CONTRACTOR:</t>
  </si>
  <si>
    <t>TD:</t>
  </si>
  <si>
    <t>PBTD:</t>
  </si>
  <si>
    <t>API #:</t>
  </si>
  <si>
    <t>SUPERVISOR:</t>
  </si>
  <si>
    <t>RIG PHONE:</t>
  </si>
  <si>
    <t>EMAIL:</t>
  </si>
  <si>
    <t>COMPLETION AFE AMT:</t>
  </si>
  <si>
    <t>DAILY COMP COST:</t>
  </si>
  <si>
    <t>CUM COMP COST:</t>
  </si>
  <si>
    <t>Job Name</t>
  </si>
  <si>
    <t>Email</t>
  </si>
  <si>
    <t>RPT NUM:</t>
  </si>
  <si>
    <t>Present Ops:</t>
  </si>
  <si>
    <t>Next 24 Hours:</t>
  </si>
  <si>
    <t>www.wellez.com                  WellEz On Demand                    ver_01.04.21gw</t>
  </si>
  <si>
    <t>Garrett Warren</t>
  </si>
  <si>
    <t>Reformatted report number to general instead of a date</t>
  </si>
  <si>
    <t>Duane Winkler</t>
  </si>
  <si>
    <t>3.500</t>
  </si>
  <si>
    <t>FORGE 16A [78]-32</t>
  </si>
  <si>
    <t>-200</t>
  </si>
  <si>
    <t>-201</t>
  </si>
  <si>
    <t>-202</t>
  </si>
  <si>
    <t>-203</t>
  </si>
  <si>
    <t>-204</t>
  </si>
  <si>
    <t>-205</t>
  </si>
  <si>
    <t>-206</t>
  </si>
  <si>
    <t>-207</t>
  </si>
  <si>
    <t>-208</t>
  </si>
  <si>
    <t>-209</t>
  </si>
  <si>
    <t>-210</t>
  </si>
  <si>
    <t>-210B</t>
  </si>
  <si>
    <t>-211</t>
  </si>
  <si>
    <t>-212</t>
  </si>
  <si>
    <t>-213</t>
  </si>
  <si>
    <t>-214</t>
  </si>
  <si>
    <t>-215</t>
  </si>
  <si>
    <t>-216</t>
  </si>
  <si>
    <t>-217</t>
  </si>
  <si>
    <t>-218</t>
  </si>
  <si>
    <t>-219</t>
  </si>
  <si>
    <t>-220</t>
  </si>
  <si>
    <t>-221</t>
  </si>
  <si>
    <t>-222</t>
  </si>
  <si>
    <t>-223</t>
  </si>
  <si>
    <t>-224</t>
  </si>
  <si>
    <t>-225A</t>
  </si>
  <si>
    <t>-225</t>
  </si>
  <si>
    <t>-226</t>
  </si>
  <si>
    <t>-227</t>
  </si>
  <si>
    <t>-228</t>
  </si>
  <si>
    <t>-229</t>
  </si>
  <si>
    <t>-230</t>
  </si>
  <si>
    <t>-232</t>
  </si>
  <si>
    <t>-231</t>
  </si>
  <si>
    <t>-XX</t>
  </si>
  <si>
    <t>-233</t>
  </si>
  <si>
    <t>-235A</t>
  </si>
  <si>
    <t>-234</t>
  </si>
  <si>
    <t>-235</t>
  </si>
  <si>
    <t>-238</t>
  </si>
  <si>
    <t>-237</t>
  </si>
  <si>
    <t>-239</t>
  </si>
  <si>
    <t>-242</t>
  </si>
  <si>
    <t>-243</t>
  </si>
  <si>
    <t>-271</t>
  </si>
  <si>
    <t>-272</t>
  </si>
  <si>
    <t>-273</t>
  </si>
  <si>
    <t>-274</t>
  </si>
  <si>
    <t>-275</t>
  </si>
  <si>
    <t>-300</t>
  </si>
  <si>
    <t>-301</t>
  </si>
  <si>
    <t>-302</t>
  </si>
  <si>
    <t>-303</t>
  </si>
  <si>
    <t>-304</t>
  </si>
  <si>
    <t>-305</t>
  </si>
  <si>
    <t>-306</t>
  </si>
  <si>
    <t>-307</t>
  </si>
  <si>
    <t>-308</t>
  </si>
  <si>
    <t>-309</t>
  </si>
  <si>
    <t>-310</t>
  </si>
  <si>
    <t>-311</t>
  </si>
  <si>
    <t>-312</t>
  </si>
  <si>
    <t>Frontier Drilling</t>
  </si>
  <si>
    <t>Frontier Rig 16</t>
  </si>
  <si>
    <t>S-135</t>
  </si>
  <si>
    <t>D Winkler, L Swearingen, V Welch</t>
  </si>
  <si>
    <t>TRIP IN HOLE WITH 3 1/2 DRILL PIPE</t>
  </si>
  <si>
    <t>DRILL OUT CMT, FLOATS AND CIRCULATE OUT SAND</t>
  </si>
  <si>
    <t>NIPPLE UP / NIPPLE DOWN BOP STACK</t>
  </si>
  <si>
    <t>DFIT</t>
  </si>
  <si>
    <t>Mud</t>
  </si>
  <si>
    <t>6:00</t>
  </si>
  <si>
    <t>20:00</t>
  </si>
  <si>
    <t>Pressure Test BOPs</t>
  </si>
  <si>
    <t>Trips</t>
  </si>
  <si>
    <t>Weld on wellhead as per API specs
Nipple up and test BOPE;  
Annular 250 psi low / 5,000 psi high
Blind rams, pipe rams, choke lines, manifold, floor valves, top drive valves 250 psi low / 10,000 psi high
Casing 1,500 psi
Accumulator function test</t>
  </si>
  <si>
    <t>Make up BHA and pick up 3 1/2" drill pipe to 7,300'</t>
  </si>
  <si>
    <t>Well Prep</t>
  </si>
  <si>
    <t>Conductor</t>
  </si>
  <si>
    <t>Surface</t>
  </si>
  <si>
    <t>Intermediate</t>
  </si>
  <si>
    <t>Production</t>
  </si>
  <si>
    <t>54</t>
  </si>
  <si>
    <t>68</t>
  </si>
  <si>
    <t>40</t>
  </si>
  <si>
    <t>38</t>
  </si>
  <si>
    <t>A53B</t>
  </si>
  <si>
    <t>L-80</t>
  </si>
  <si>
    <t>HCL-80</t>
  </si>
  <si>
    <t>T-95</t>
  </si>
  <si>
    <t>Welded</t>
  </si>
  <si>
    <t>BTC</t>
  </si>
  <si>
    <t>JFELION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</si>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</sst>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;@"/>
    <numFmt numFmtId="165" formatCode="h:mm;@"/>
    <numFmt numFmtId="166" formatCode="[$-409]mmmm\ d\,\ yyyy;@"/>
    <numFmt numFmtId="167" formatCode="m/d/yyyy;@"/>
    <numFmt numFmtId="168" formatCode="#,##0.0"/>
    <numFmt numFmtId="169" formatCode="0.000"/>
  </numFmts>
  <fonts count="19" x14ac:knownFonts="1"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sz val="14"/>
      <color indexed="1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auto="1"/>
      </patternFill>
    </fill>
    <fill>
      <patternFill patternType="solid">
        <fgColor rgb="FF2F75B5"/>
        <bgColor auto="1"/>
      </patternFill>
    </fill>
    <fill>
      <patternFill patternType="solid">
        <fgColor rgb="FF00FF00"/>
        <bgColor auto="1"/>
      </patternFill>
    </fill>
    <fill>
      <patternFill patternType="solid">
        <fgColor rgb="FFCCFFFF"/>
        <bgColor auto="1"/>
      </patternFill>
    </fill>
    <fill>
      <patternFill patternType="solid">
        <fgColor rgb="FF0070C0"/>
        <bgColor auto="1"/>
      </patternFill>
    </fill>
    <fill>
      <patternFill patternType="solid">
        <fgColor rgb="FFCCFFFF"/>
        <bgColor auto="1"/>
      </patternFill>
    </fill>
    <fill>
      <patternFill patternType="solid">
        <fgColor rgb="FF00FF00"/>
        <bgColor auto="1"/>
      </patternFill>
    </fill>
    <fill>
      <patternFill patternType="solid">
        <fgColor rgb="FF00FFFF"/>
        <bgColor auto="1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hair">
        <color auto="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hair">
        <color auto="1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medium">
        <color theme="0" tint="-0.34998626667073579"/>
      </right>
      <top style="hair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hair">
        <color auto="1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auto="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34998626667073579"/>
      </left>
      <right style="hair">
        <color auto="1"/>
      </right>
      <top/>
      <bottom style="medium">
        <color theme="0" tint="-0.34998626667073579"/>
      </bottom>
      <diagonal/>
    </border>
    <border>
      <left style="hair">
        <color auto="1"/>
      </left>
      <right style="hair">
        <color auto="1"/>
      </right>
      <top/>
      <bottom style="medium">
        <color theme="0" tint="-0.34998626667073579"/>
      </bottom>
      <diagonal/>
    </border>
    <border>
      <left style="hair">
        <color auto="1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hair">
        <color auto="1"/>
      </right>
      <top/>
      <bottom/>
      <diagonal/>
    </border>
    <border>
      <left style="hair">
        <color auto="1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theme="0" tint="-0.34998626667073579"/>
      </right>
      <top style="hair">
        <color auto="1"/>
      </top>
      <bottom style="hair">
        <color auto="1"/>
      </bottom>
      <diagonal/>
    </border>
    <border>
      <left style="medium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34998626667073579"/>
      </left>
      <right style="thin">
        <color auto="1"/>
      </right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/>
      <right style="medium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0" xfId="0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 applyFill="1"/>
    <xf numFmtId="0" fontId="3" fillId="0" borderId="0" xfId="0" applyFont="1" applyBorder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/>
    <xf numFmtId="0" fontId="3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65" fontId="9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Fill="1" applyBorder="1" applyAlignment="1">
      <alignment horizontal="left"/>
    </xf>
    <xf numFmtId="0" fontId="9" fillId="0" borderId="5" xfId="0" applyFont="1" applyBorder="1" applyAlignment="1">
      <alignment horizontal="left"/>
    </xf>
    <xf numFmtId="0" fontId="6" fillId="0" borderId="5" xfId="0" applyFont="1" applyBorder="1"/>
    <xf numFmtId="3" fontId="9" fillId="0" borderId="5" xfId="0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5" fillId="0" borderId="5" xfId="0" applyFont="1" applyBorder="1" applyAlignment="1"/>
    <xf numFmtId="0" fontId="6" fillId="0" borderId="7" xfId="0" applyFont="1" applyBorder="1"/>
    <xf numFmtId="0" fontId="5" fillId="0" borderId="7" xfId="0" applyFont="1" applyBorder="1"/>
    <xf numFmtId="0" fontId="3" fillId="4" borderId="0" xfId="0" applyFont="1" applyFill="1"/>
    <xf numFmtId="0" fontId="3" fillId="6" borderId="0" xfId="0" applyFont="1" applyFill="1"/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left" vertical="top" wrapText="1"/>
    </xf>
    <xf numFmtId="0" fontId="14" fillId="0" borderId="0" xfId="0" applyFont="1"/>
    <xf numFmtId="0" fontId="14" fillId="0" borderId="18" xfId="0" applyFont="1" applyBorder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0" fillId="7" borderId="0" xfId="0" applyFill="1"/>
    <xf numFmtId="0" fontId="3" fillId="8" borderId="0" xfId="0" applyFont="1" applyFill="1"/>
    <xf numFmtId="14" fontId="3" fillId="8" borderId="0" xfId="0" applyNumberFormat="1" applyFont="1" applyFill="1"/>
    <xf numFmtId="0" fontId="3" fillId="0" borderId="0" xfId="0" applyFont="1" applyAlignment="1"/>
    <xf numFmtId="0" fontId="2" fillId="0" borderId="0" xfId="0" applyFont="1" applyFill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0" fillId="0" borderId="0" xfId="0" applyFill="1"/>
    <xf numFmtId="0" fontId="7" fillId="0" borderId="41" xfId="0" applyFont="1" applyFill="1" applyBorder="1" applyAlignment="1"/>
    <xf numFmtId="0" fontId="9" fillId="0" borderId="41" xfId="0" applyFont="1" applyBorder="1" applyAlignment="1">
      <alignment horizontal="left"/>
    </xf>
    <xf numFmtId="0" fontId="14" fillId="0" borderId="0" xfId="0" applyFont="1" applyBorder="1" applyAlignment="1">
      <alignment wrapText="1"/>
    </xf>
    <xf numFmtId="0" fontId="16" fillId="0" borderId="0" xfId="0" applyFont="1" applyBorder="1" applyAlignment="1">
      <alignment horizontal="left" wrapText="1"/>
    </xf>
    <xf numFmtId="0" fontId="14" fillId="0" borderId="0" xfId="0" applyFont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0" xfId="0" applyFont="1" applyBorder="1" applyAlignment="1">
      <alignment horizontal="left" wrapText="1"/>
    </xf>
    <xf numFmtId="0" fontId="2" fillId="0" borderId="0" xfId="0" applyFont="1" applyFill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14" fillId="0" borderId="0" xfId="0" applyFont="1" applyFill="1" applyBorder="1" applyAlignment="1"/>
    <xf numFmtId="0" fontId="3" fillId="0" borderId="0" xfId="0" applyFont="1" applyAlignment="1">
      <alignment horizontal="center"/>
    </xf>
    <xf numFmtId="0" fontId="17" fillId="0" borderId="0" xfId="0" applyNumberFormat="1" applyFont="1" applyFill="1" applyBorder="1" applyAlignment="1"/>
    <xf numFmtId="3" fontId="17" fillId="0" borderId="0" xfId="0" applyNumberFormat="1" applyFont="1" applyFill="1" applyBorder="1" applyAlignment="1"/>
    <xf numFmtId="3" fontId="17" fillId="0" borderId="24" xfId="0" applyNumberFormat="1" applyFont="1" applyFill="1" applyBorder="1" applyAlignment="1">
      <alignment horizontal="center"/>
    </xf>
    <xf numFmtId="3" fontId="17" fillId="0" borderId="25" xfId="0" applyNumberFormat="1" applyFont="1" applyFill="1" applyBorder="1" applyAlignment="1">
      <alignment horizontal="center"/>
    </xf>
    <xf numFmtId="3" fontId="17" fillId="0" borderId="12" xfId="0" applyNumberFormat="1" applyFont="1" applyFill="1" applyBorder="1" applyAlignment="1">
      <alignment horizontal="center"/>
    </xf>
    <xf numFmtId="0" fontId="18" fillId="3" borderId="19" xfId="0" applyFont="1" applyFill="1" applyBorder="1" applyAlignment="1">
      <alignment horizontal="left"/>
    </xf>
    <xf numFmtId="0" fontId="18" fillId="3" borderId="20" xfId="0" applyFont="1" applyFill="1" applyBorder="1" applyAlignment="1">
      <alignment horizontal="left"/>
    </xf>
    <xf numFmtId="0" fontId="18" fillId="3" borderId="21" xfId="0" applyFont="1" applyFill="1" applyBorder="1" applyAlignment="1">
      <alignment horizontal="left"/>
    </xf>
    <xf numFmtId="0" fontId="17" fillId="0" borderId="27" xfId="0" applyFont="1" applyFill="1" applyBorder="1" applyAlignment="1">
      <alignment horizontal="center"/>
    </xf>
    <xf numFmtId="0" fontId="17" fillId="0" borderId="25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7" fillId="0" borderId="12" xfId="0" applyFont="1" applyFill="1" applyBorder="1" applyAlignment="1">
      <alignment horizontal="center"/>
    </xf>
    <xf numFmtId="0" fontId="17" fillId="0" borderId="16" xfId="0" applyNumberFormat="1" applyFont="1" applyFill="1" applyBorder="1" applyAlignment="1">
      <alignment horizontal="center"/>
    </xf>
    <xf numFmtId="14" fontId="17" fillId="0" borderId="12" xfId="0" applyNumberFormat="1" applyFont="1" applyFill="1" applyBorder="1" applyAlignment="1">
      <alignment horizontal="left"/>
    </xf>
    <xf numFmtId="0" fontId="17" fillId="0" borderId="12" xfId="0" applyFont="1" applyFill="1" applyBorder="1" applyAlignment="1">
      <alignment horizontal="left"/>
    </xf>
    <xf numFmtId="0" fontId="17" fillId="0" borderId="13" xfId="0" applyFont="1" applyFill="1" applyBorder="1" applyAlignment="1">
      <alignment horizontal="left"/>
    </xf>
    <xf numFmtId="14" fontId="17" fillId="0" borderId="16" xfId="0" applyNumberFormat="1" applyFont="1" applyFill="1" applyBorder="1" applyAlignment="1">
      <alignment horizontal="left"/>
    </xf>
    <xf numFmtId="0" fontId="17" fillId="0" borderId="16" xfId="0" applyFont="1" applyFill="1" applyBorder="1" applyAlignment="1">
      <alignment horizontal="left"/>
    </xf>
    <xf numFmtId="0" fontId="17" fillId="0" borderId="17" xfId="0" applyFont="1" applyFill="1" applyBorder="1" applyAlignment="1">
      <alignment horizontal="left"/>
    </xf>
    <xf numFmtId="0" fontId="17" fillId="0" borderId="16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right" vertical="center"/>
    </xf>
    <xf numFmtId="3" fontId="17" fillId="0" borderId="0" xfId="0" applyNumberFormat="1" applyFont="1" applyFill="1" applyBorder="1" applyAlignment="1">
      <alignment horizontal="left" vertical="center"/>
    </xf>
    <xf numFmtId="3" fontId="17" fillId="0" borderId="7" xfId="0" applyNumberFormat="1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/>
    </xf>
    <xf numFmtId="3" fontId="17" fillId="0" borderId="0" xfId="0" applyNumberFormat="1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/>
    </xf>
    <xf numFmtId="0" fontId="17" fillId="0" borderId="7" xfId="0" applyFont="1" applyFill="1" applyBorder="1" applyAlignment="1">
      <alignment horizontal="left"/>
    </xf>
    <xf numFmtId="0" fontId="18" fillId="3" borderId="19" xfId="0" applyFont="1" applyFill="1" applyBorder="1" applyAlignment="1">
      <alignment horizontal="left" vertical="center"/>
    </xf>
    <xf numFmtId="0" fontId="18" fillId="3" borderId="20" xfId="0" applyFont="1" applyFill="1" applyBorder="1" applyAlignment="1">
      <alignment horizontal="left" vertical="center"/>
    </xf>
    <xf numFmtId="0" fontId="18" fillId="3" borderId="21" xfId="0" applyFont="1" applyFill="1" applyBorder="1" applyAlignment="1">
      <alignment horizontal="left" vertical="center"/>
    </xf>
    <xf numFmtId="14" fontId="17" fillId="0" borderId="9" xfId="0" applyNumberFormat="1" applyFont="1" applyFill="1" applyBorder="1" applyAlignment="1">
      <alignment horizontal="left" vertical="center"/>
    </xf>
    <xf numFmtId="14" fontId="17" fillId="0" borderId="10" xfId="0" applyNumberFormat="1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right"/>
    </xf>
    <xf numFmtId="0" fontId="14" fillId="0" borderId="9" xfId="0" applyFont="1" applyFill="1" applyBorder="1" applyAlignment="1">
      <alignment horizontal="right"/>
    </xf>
    <xf numFmtId="0" fontId="14" fillId="0" borderId="5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17" fillId="0" borderId="24" xfId="0" applyFont="1" applyFill="1" applyBorder="1" applyAlignment="1">
      <alignment horizontal="left" vertical="top" wrapText="1"/>
    </xf>
    <xf numFmtId="0" fontId="17" fillId="0" borderId="25" xfId="0" applyFont="1" applyFill="1" applyBorder="1" applyAlignment="1">
      <alignment horizontal="left" vertical="top" wrapText="1"/>
    </xf>
    <xf numFmtId="0" fontId="17" fillId="0" borderId="26" xfId="0" applyFont="1" applyFill="1" applyBorder="1" applyAlignment="1">
      <alignment horizontal="left" vertical="top" wrapText="1"/>
    </xf>
    <xf numFmtId="0" fontId="17" fillId="0" borderId="0" xfId="0" applyNumberFormat="1" applyFont="1" applyFill="1" applyBorder="1" applyAlignment="1">
      <alignment horizontal="left" vertical="center"/>
    </xf>
    <xf numFmtId="0" fontId="17" fillId="0" borderId="7" xfId="0" applyNumberFormat="1" applyFont="1" applyFill="1" applyBorder="1" applyAlignment="1">
      <alignment horizontal="left" vertical="center"/>
    </xf>
    <xf numFmtId="3" fontId="17" fillId="2" borderId="29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68" fontId="17" fillId="0" borderId="12" xfId="0" applyNumberFormat="1" applyFont="1" applyFill="1" applyBorder="1" applyAlignment="1">
      <alignment horizontal="center"/>
    </xf>
    <xf numFmtId="0" fontId="17" fillId="0" borderId="43" xfId="0" applyFont="1" applyFill="1" applyBorder="1" applyAlignment="1">
      <alignment horizontal="left" vertical="top" wrapText="1"/>
    </xf>
    <xf numFmtId="0" fontId="17" fillId="0" borderId="29" xfId="0" applyFont="1" applyFill="1" applyBorder="1" applyAlignment="1">
      <alignment horizontal="left"/>
    </xf>
    <xf numFmtId="0" fontId="17" fillId="0" borderId="38" xfId="0" applyFont="1" applyFill="1" applyBorder="1" applyAlignment="1">
      <alignment horizontal="left"/>
    </xf>
    <xf numFmtId="169" fontId="17" fillId="0" borderId="12" xfId="0" applyNumberFormat="1" applyFont="1" applyFill="1" applyBorder="1" applyAlignment="1">
      <alignment horizontal="center"/>
    </xf>
    <xf numFmtId="0" fontId="17" fillId="0" borderId="12" xfId="0" applyNumberFormat="1" applyFont="1" applyFill="1" applyBorder="1" applyAlignment="1">
      <alignment horizontal="center"/>
    </xf>
    <xf numFmtId="165" fontId="17" fillId="0" borderId="11" xfId="0" applyNumberFormat="1" applyFont="1" applyFill="1" applyBorder="1" applyAlignment="1">
      <alignment horizontal="center"/>
    </xf>
    <xf numFmtId="165" fontId="17" fillId="0" borderId="12" xfId="0" applyNumberFormat="1" applyFont="1" applyFill="1" applyBorder="1" applyAlignment="1">
      <alignment horizontal="center"/>
    </xf>
    <xf numFmtId="3" fontId="17" fillId="2" borderId="39" xfId="0" applyNumberFormat="1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3" fontId="17" fillId="2" borderId="29" xfId="0" applyNumberFormat="1" applyFont="1" applyFill="1" applyBorder="1" applyAlignment="1">
      <alignment horizontal="left"/>
    </xf>
    <xf numFmtId="0" fontId="18" fillId="3" borderId="4" xfId="0" applyFont="1" applyFill="1" applyBorder="1" applyAlignment="1">
      <alignment horizontal="left"/>
    </xf>
    <xf numFmtId="0" fontId="18" fillId="3" borderId="3" xfId="0" applyFont="1" applyFill="1" applyBorder="1" applyAlignment="1">
      <alignment horizontal="left"/>
    </xf>
    <xf numFmtId="0" fontId="18" fillId="3" borderId="22" xfId="0" applyFont="1" applyFill="1" applyBorder="1" applyAlignment="1">
      <alignment horizontal="left"/>
    </xf>
    <xf numFmtId="0" fontId="14" fillId="0" borderId="9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left"/>
    </xf>
    <xf numFmtId="3" fontId="14" fillId="2" borderId="37" xfId="0" applyNumberFormat="1" applyFont="1" applyFill="1" applyBorder="1" applyAlignment="1">
      <alignment horizontal="center"/>
    </xf>
    <xf numFmtId="3" fontId="14" fillId="2" borderId="29" xfId="0" applyNumberFormat="1" applyFont="1" applyFill="1" applyBorder="1" applyAlignment="1">
      <alignment horizontal="center"/>
    </xf>
    <xf numFmtId="3" fontId="14" fillId="2" borderId="38" xfId="0" applyNumberFormat="1" applyFont="1" applyFill="1" applyBorder="1" applyAlignment="1">
      <alignment horizontal="center"/>
    </xf>
    <xf numFmtId="0" fontId="14" fillId="2" borderId="40" xfId="0" applyFont="1" applyFill="1" applyBorder="1" applyAlignment="1">
      <alignment horizontal="left"/>
    </xf>
    <xf numFmtId="0" fontId="14" fillId="2" borderId="29" xfId="0" applyFont="1" applyFill="1" applyBorder="1" applyAlignment="1">
      <alignment horizontal="left"/>
    </xf>
    <xf numFmtId="0" fontId="14" fillId="2" borderId="37" xfId="0" applyFont="1" applyFill="1" applyBorder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3" fontId="17" fillId="2" borderId="38" xfId="0" applyNumberFormat="1" applyFont="1" applyFill="1" applyBorder="1" applyAlignment="1">
      <alignment horizontal="center"/>
    </xf>
    <xf numFmtId="2" fontId="17" fillId="2" borderId="29" xfId="0" applyNumberFormat="1" applyFont="1" applyFill="1" applyBorder="1" applyAlignment="1">
      <alignment horizontal="center"/>
    </xf>
    <xf numFmtId="2" fontId="17" fillId="2" borderId="38" xfId="0" applyNumberFormat="1" applyFont="1" applyFill="1" applyBorder="1" applyAlignment="1">
      <alignment horizontal="center"/>
    </xf>
    <xf numFmtId="0" fontId="18" fillId="3" borderId="33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left"/>
    </xf>
    <xf numFmtId="0" fontId="18" fillId="3" borderId="34" xfId="0" applyFont="1" applyFill="1" applyBorder="1" applyAlignment="1">
      <alignment horizontal="left"/>
    </xf>
    <xf numFmtId="0" fontId="18" fillId="3" borderId="8" xfId="0" applyFont="1" applyFill="1" applyBorder="1" applyAlignment="1">
      <alignment horizontal="left"/>
    </xf>
    <xf numFmtId="0" fontId="18" fillId="3" borderId="9" xfId="0" applyFont="1" applyFill="1" applyBorder="1" applyAlignment="1">
      <alignment horizontal="left"/>
    </xf>
    <xf numFmtId="0" fontId="18" fillId="3" borderId="10" xfId="0" applyFont="1" applyFill="1" applyBorder="1" applyAlignment="1">
      <alignment horizontal="left"/>
    </xf>
    <xf numFmtId="0" fontId="18" fillId="3" borderId="30" xfId="0" applyFont="1" applyFill="1" applyBorder="1" applyAlignment="1">
      <alignment horizontal="left"/>
    </xf>
    <xf numFmtId="0" fontId="18" fillId="3" borderId="31" xfId="0" applyFont="1" applyFill="1" applyBorder="1" applyAlignment="1">
      <alignment horizontal="left"/>
    </xf>
    <xf numFmtId="0" fontId="18" fillId="3" borderId="32" xfId="0" applyFont="1" applyFill="1" applyBorder="1" applyAlignment="1">
      <alignment horizontal="left"/>
    </xf>
    <xf numFmtId="3" fontId="14" fillId="2" borderId="29" xfId="0" applyNumberFormat="1" applyFont="1" applyFill="1" applyBorder="1" applyAlignment="1">
      <alignment horizontal="left"/>
    </xf>
    <xf numFmtId="0" fontId="17" fillId="2" borderId="29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168" fontId="17" fillId="0" borderId="16" xfId="0" applyNumberFormat="1" applyFont="1" applyFill="1" applyBorder="1" applyAlignment="1">
      <alignment horizontal="center"/>
    </xf>
    <xf numFmtId="0" fontId="14" fillId="0" borderId="16" xfId="0" applyFont="1" applyFill="1" applyBorder="1" applyAlignment="1">
      <alignment horizontal="center"/>
    </xf>
    <xf numFmtId="0" fontId="14" fillId="0" borderId="17" xfId="0" applyFont="1" applyFill="1" applyBorder="1" applyAlignment="1">
      <alignment horizontal="center"/>
    </xf>
    <xf numFmtId="167" fontId="17" fillId="0" borderId="29" xfId="0" applyNumberFormat="1" applyFont="1" applyFill="1" applyBorder="1" applyAlignment="1">
      <alignment horizontal="center"/>
    </xf>
    <xf numFmtId="0" fontId="17" fillId="0" borderId="29" xfId="0" applyNumberFormat="1" applyFont="1" applyFill="1" applyBorder="1" applyAlignment="1">
      <alignment horizontal="left"/>
    </xf>
    <xf numFmtId="0" fontId="17" fillId="0" borderId="38" xfId="0" applyNumberFormat="1" applyFont="1" applyFill="1" applyBorder="1" applyAlignment="1">
      <alignment horizontal="left"/>
    </xf>
    <xf numFmtId="0" fontId="14" fillId="0" borderId="40" xfId="0" applyFont="1" applyFill="1" applyBorder="1" applyAlignment="1">
      <alignment horizontal="left"/>
    </xf>
    <xf numFmtId="0" fontId="17" fillId="0" borderId="11" xfId="0" applyFont="1" applyFill="1" applyBorder="1" applyAlignment="1">
      <alignment horizontal="left"/>
    </xf>
    <xf numFmtId="0" fontId="17" fillId="0" borderId="15" xfId="0" applyFont="1" applyFill="1" applyBorder="1" applyAlignment="1">
      <alignment horizontal="left"/>
    </xf>
    <xf numFmtId="169" fontId="17" fillId="0" borderId="16" xfId="0" applyNumberFormat="1" applyFont="1" applyFill="1" applyBorder="1" applyAlignment="1">
      <alignment horizontal="center"/>
    </xf>
    <xf numFmtId="3" fontId="17" fillId="0" borderId="14" xfId="0" applyNumberFormat="1" applyFont="1" applyFill="1" applyBorder="1" applyAlignment="1">
      <alignment horizontal="center"/>
    </xf>
    <xf numFmtId="0" fontId="14" fillId="2" borderId="40" xfId="0" applyFont="1" applyFill="1" applyBorder="1" applyAlignment="1">
      <alignment horizontal="center"/>
    </xf>
    <xf numFmtId="0" fontId="14" fillId="0" borderId="15" xfId="0" applyFont="1" applyFill="1" applyBorder="1" applyAlignment="1">
      <alignment horizontal="center"/>
    </xf>
    <xf numFmtId="3" fontId="17" fillId="0" borderId="13" xfId="0" applyNumberFormat="1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0" fontId="17" fillId="0" borderId="9" xfId="0" applyFont="1" applyFill="1" applyBorder="1" applyAlignment="1">
      <alignment horizontal="left"/>
    </xf>
    <xf numFmtId="0" fontId="17" fillId="0" borderId="10" xfId="0" applyFont="1" applyFill="1" applyBorder="1" applyAlignment="1">
      <alignment horizontal="left"/>
    </xf>
    <xf numFmtId="0" fontId="14" fillId="0" borderId="5" xfId="0" applyFont="1" applyFill="1" applyBorder="1" applyAlignment="1">
      <alignment horizontal="right" vertical="center"/>
    </xf>
    <xf numFmtId="0" fontId="14" fillId="0" borderId="35" xfId="0" applyFont="1" applyFill="1" applyBorder="1" applyAlignment="1">
      <alignment horizontal="right" vertical="center"/>
    </xf>
    <xf numFmtId="0" fontId="14" fillId="0" borderId="36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 vertical="top" wrapText="1"/>
    </xf>
    <xf numFmtId="0" fontId="17" fillId="0" borderId="7" xfId="0" applyFont="1" applyFill="1" applyBorder="1" applyAlignment="1">
      <alignment horizontal="left" vertical="top" wrapText="1"/>
    </xf>
    <xf numFmtId="0" fontId="17" fillId="0" borderId="36" xfId="0" applyFont="1" applyFill="1" applyBorder="1" applyAlignment="1">
      <alignment horizontal="left" vertical="top" wrapText="1"/>
    </xf>
    <xf numFmtId="0" fontId="17" fillId="0" borderId="46" xfId="0" applyFont="1" applyFill="1" applyBorder="1" applyAlignment="1">
      <alignment horizontal="left" vertical="top"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4" fontId="17" fillId="0" borderId="20" xfId="0" applyNumberFormat="1" applyFont="1" applyFill="1" applyBorder="1" applyAlignment="1">
      <alignment horizontal="center"/>
    </xf>
    <xf numFmtId="3" fontId="14" fillId="0" borderId="2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FFFF"/>
      <color rgb="FFCCFFFF"/>
      <color rgb="FF00FF00"/>
      <color rgb="FF0070C0"/>
      <color rgb="FF2F75B5"/>
      <color rgb="FF36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200025</xdr:rowOff>
    </xdr:from>
    <xdr:to>
      <xdr:col>6</xdr:col>
      <xdr:colOff>47625</xdr:colOff>
      <xdr:row>2</xdr:row>
      <xdr:rowOff>142875</xdr:rowOff>
    </xdr:to>
    <xdr:pic>
      <xdr:nvPicPr>
        <xdr:cNvPr id="1025" name="Picture 2" descr="C:\Users\Richard_Willingham\AppData\Local\Microsoft\Windows\INetCache\Content.Outlook\Z1U3DALZ\small FORGE Logo Feb2018 nobkg (002)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241"/>
  <sheetViews>
    <sheetView showGridLines="0" showZeros="0" tabSelected="1" zoomScaleNormal="100" workbookViewId="0">
      <selection activeCell="AH75" sqref="AH75"/>
    </sheetView>
  </sheetViews>
  <sheetFormatPr defaultColWidth="0" defaultRowHeight="14.4" x14ac:dyDescent="0.3"/>
  <cols>
    <col min="1" max="1" width="3.109375" style="32" customWidth="1"/>
    <col min="2" max="7" width="5" style="32" customWidth="1"/>
    <col min="8" max="19" width="5.21875" style="32" customWidth="1"/>
    <col min="20" max="20" width="5" style="32" customWidth="1"/>
    <col min="21" max="33" width="5.21875" style="32" customWidth="1"/>
    <col min="34" max="34" width="3.109375" style="32" customWidth="1"/>
    <col min="35" max="35" width="50.21875" style="81" hidden="1" customWidth="1"/>
    <col min="36" max="36" width="87" style="85" hidden="1" customWidth="1"/>
    <col min="37" max="16384" width="0" style="67" hidden="1"/>
  </cols>
  <sheetData>
    <row r="1" spans="1:67" ht="18.75" customHeight="1" x14ac:dyDescent="0.35">
      <c r="A1" s="57"/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17" t="s">
        <v>141</v>
      </c>
      <c r="AB1" s="117"/>
      <c r="AC1" s="117"/>
      <c r="AD1" s="131">
        <f>Data!AB4</f>
        <v>44201</v>
      </c>
      <c r="AE1" s="131"/>
      <c r="AF1" s="131"/>
      <c r="AG1" s="132"/>
      <c r="AH1" s="46"/>
    </row>
    <row r="2" spans="1:67" ht="18.75" customHeight="1" x14ac:dyDescent="0.35">
      <c r="A2" s="57"/>
      <c r="B2" s="122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B2" s="117" t="s">
        <v>161</v>
      </c>
      <c r="AC2" s="117"/>
      <c r="AD2" s="140">
        <f>Data!AC4</f>
        <v>2</v>
      </c>
      <c r="AE2" s="140"/>
      <c r="AF2" s="140"/>
      <c r="AG2" s="141"/>
      <c r="AH2" s="46"/>
    </row>
    <row r="3" spans="1:67" ht="19.5" customHeight="1" thickBot="1" x14ac:dyDescent="0.35">
      <c r="A3" s="57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17" t="s">
        <v>142</v>
      </c>
      <c r="AB3" s="117"/>
      <c r="AC3" s="117"/>
      <c r="AD3" s="118" t="str">
        <f>Data!R4</f>
        <v>Frontier Rig 16</v>
      </c>
      <c r="AE3" s="118"/>
      <c r="AF3" s="118"/>
      <c r="AG3" s="119"/>
      <c r="AH3" s="47"/>
    </row>
    <row r="4" spans="1:67" ht="16.2" thickBot="1" x14ac:dyDescent="0.35">
      <c r="A4" s="57"/>
      <c r="B4" s="128" t="s">
        <v>95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30"/>
      <c r="AH4" s="47"/>
    </row>
    <row r="5" spans="1:67" x14ac:dyDescent="0.3">
      <c r="A5" s="57"/>
      <c r="B5" s="133" t="s">
        <v>146</v>
      </c>
      <c r="C5" s="134"/>
      <c r="D5" s="134"/>
      <c r="E5" s="134"/>
      <c r="F5" s="205" t="str">
        <f>Data!G4</f>
        <v>FORGE 16A [78]-32</v>
      </c>
      <c r="G5" s="205"/>
      <c r="H5" s="205"/>
      <c r="I5" s="205"/>
      <c r="J5" s="205"/>
      <c r="K5" s="205"/>
      <c r="L5" s="205"/>
      <c r="M5" s="205"/>
      <c r="N5" s="205"/>
      <c r="O5" s="205"/>
      <c r="P5" s="96"/>
      <c r="Q5" s="134" t="s">
        <v>143</v>
      </c>
      <c r="R5" s="134"/>
      <c r="S5" s="134"/>
      <c r="T5" s="205" t="str">
        <f>Data!U4</f>
        <v>DFIT</v>
      </c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6"/>
      <c r="AH5" s="48"/>
    </row>
    <row r="6" spans="1:67" x14ac:dyDescent="0.3">
      <c r="A6" s="57"/>
      <c r="B6" s="135" t="s">
        <v>147</v>
      </c>
      <c r="C6" s="136"/>
      <c r="D6" s="136"/>
      <c r="E6" s="136"/>
      <c r="F6" s="126">
        <f>Data!H4</f>
        <v>0</v>
      </c>
      <c r="G6" s="126"/>
      <c r="H6" s="126"/>
      <c r="I6" s="126"/>
      <c r="J6" s="126"/>
      <c r="K6" s="126"/>
      <c r="L6" s="126"/>
      <c r="M6" s="126"/>
      <c r="N6" s="126"/>
      <c r="O6" s="126"/>
      <c r="P6" s="96"/>
      <c r="Q6" s="136" t="s">
        <v>144</v>
      </c>
      <c r="R6" s="136"/>
      <c r="S6" s="136"/>
      <c r="T6" s="126">
        <f>Data!I4</f>
        <v>0</v>
      </c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7"/>
      <c r="AH6" s="48"/>
    </row>
    <row r="7" spans="1:67" x14ac:dyDescent="0.3">
      <c r="A7" s="57"/>
      <c r="B7" s="135" t="s">
        <v>148</v>
      </c>
      <c r="C7" s="136"/>
      <c r="D7" s="136"/>
      <c r="E7" s="136"/>
      <c r="F7" s="126">
        <f>Data!S4</f>
        <v>0</v>
      </c>
      <c r="G7" s="126"/>
      <c r="H7" s="126"/>
      <c r="I7" s="126"/>
      <c r="J7" s="126"/>
      <c r="K7" s="126"/>
      <c r="L7" s="126"/>
      <c r="M7" s="126"/>
      <c r="N7" s="126"/>
      <c r="O7" s="126"/>
      <c r="P7" s="96"/>
      <c r="Q7" s="136" t="s">
        <v>152</v>
      </c>
      <c r="R7" s="136"/>
      <c r="S7" s="136"/>
      <c r="T7" s="126">
        <f>Data!J4</f>
        <v>0</v>
      </c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7"/>
      <c r="AH7" s="48"/>
    </row>
    <row r="8" spans="1:67" x14ac:dyDescent="0.3">
      <c r="A8" s="57"/>
      <c r="B8" s="135" t="s">
        <v>149</v>
      </c>
      <c r="C8" s="136"/>
      <c r="D8" s="136"/>
      <c r="E8" s="136"/>
      <c r="F8" s="126" t="str">
        <f>Data!Q4</f>
        <v>Frontier Drilling</v>
      </c>
      <c r="G8" s="126"/>
      <c r="H8" s="126"/>
      <c r="I8" s="126"/>
      <c r="J8" s="126"/>
      <c r="K8" s="126"/>
      <c r="L8" s="126"/>
      <c r="M8" s="126"/>
      <c r="N8" s="126"/>
      <c r="O8" s="126"/>
      <c r="P8" s="96"/>
      <c r="Q8" s="136" t="s">
        <v>153</v>
      </c>
      <c r="R8" s="136"/>
      <c r="S8" s="136"/>
      <c r="T8" s="126" t="str">
        <f>Data!AD4</f>
        <v>D Winkler, L Swearingen, V Welch</v>
      </c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7"/>
      <c r="AH8" s="48"/>
    </row>
    <row r="9" spans="1:67" x14ac:dyDescent="0.3">
      <c r="A9" s="57"/>
      <c r="B9" s="135" t="s">
        <v>150</v>
      </c>
      <c r="C9" s="136"/>
      <c r="D9" s="136"/>
      <c r="E9" s="136"/>
      <c r="F9" s="94"/>
      <c r="G9" s="121">
        <f>VALUE(Data!AB7)</f>
        <v>10987</v>
      </c>
      <c r="H9" s="121"/>
      <c r="I9" s="121"/>
      <c r="J9" s="120" t="s">
        <v>35</v>
      </c>
      <c r="K9" s="120"/>
      <c r="L9" s="121">
        <f>VALUE(Data!AC7)</f>
        <v>8559</v>
      </c>
      <c r="M9" s="121"/>
      <c r="N9" s="121"/>
      <c r="O9" s="120" t="s">
        <v>21</v>
      </c>
      <c r="P9" s="120"/>
      <c r="Q9" s="136" t="s">
        <v>154</v>
      </c>
      <c r="R9" s="136"/>
      <c r="S9" s="136"/>
      <c r="T9" s="126">
        <f>Data!AJ4</f>
        <v>0</v>
      </c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7"/>
      <c r="AH9" s="48"/>
    </row>
    <row r="10" spans="1:67" x14ac:dyDescent="0.3">
      <c r="A10" s="57"/>
      <c r="B10" s="135" t="s">
        <v>151</v>
      </c>
      <c r="C10" s="136"/>
      <c r="D10" s="136"/>
      <c r="E10" s="136"/>
      <c r="F10" s="94"/>
      <c r="G10" s="121">
        <f>Data!AE4</f>
        <v>0</v>
      </c>
      <c r="H10" s="121"/>
      <c r="I10" s="121"/>
      <c r="J10" s="120" t="s">
        <v>35</v>
      </c>
      <c r="K10" s="120"/>
      <c r="L10" s="121">
        <f>Data!AF4</f>
        <v>0</v>
      </c>
      <c r="M10" s="121"/>
      <c r="N10" s="121"/>
      <c r="O10" s="120" t="s">
        <v>21</v>
      </c>
      <c r="P10" s="120"/>
      <c r="Q10" s="136" t="s">
        <v>155</v>
      </c>
      <c r="R10" s="136"/>
      <c r="S10" s="136"/>
      <c r="T10" s="126">
        <f>Data!AE7</f>
        <v>0</v>
      </c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7"/>
      <c r="AH10" s="48"/>
    </row>
    <row r="11" spans="1:67" x14ac:dyDescent="0.3">
      <c r="B11" s="207" t="s">
        <v>162</v>
      </c>
      <c r="C11" s="117"/>
      <c r="D11" s="117"/>
      <c r="E11" s="117"/>
      <c r="F11" s="210" t="str">
        <f>AJ11</f>
        <v>TRIP IN HOLE WITH 3 1/2 DRILL PIPE</v>
      </c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1"/>
      <c r="AH11" s="79"/>
      <c r="AJ11" s="70" t="str">
        <f>Data!AG4</f>
        <v>TRIP IN HOLE WITH 3 1/2 DRILL PIPE</v>
      </c>
    </row>
    <row r="12" spans="1:67" ht="15" thickBot="1" x14ac:dyDescent="0.35">
      <c r="B12" s="208" t="s">
        <v>163</v>
      </c>
      <c r="C12" s="209"/>
      <c r="D12" s="209"/>
      <c r="E12" s="209"/>
      <c r="F12" s="212" t="str">
        <f>AJ12</f>
        <v>DRILL OUT CMT, FLOATS AND CIRCULATE OUT SAND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3"/>
      <c r="AH12" s="80"/>
      <c r="AJ12" s="70" t="str">
        <f>Data!AH4</f>
        <v>DRILL OUT CMT, FLOATS AND CIRCULATE OUT SAND</v>
      </c>
    </row>
    <row r="13" spans="1:67" ht="16.2" thickBot="1" x14ac:dyDescent="0.35">
      <c r="A13" s="57"/>
      <c r="B13" s="128" t="s">
        <v>96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30"/>
      <c r="AH13" s="49"/>
      <c r="AI13" s="68"/>
    </row>
    <row r="14" spans="1:67" ht="15" thickBot="1" x14ac:dyDescent="0.35">
      <c r="A14" s="57"/>
      <c r="B14" s="214" t="s">
        <v>156</v>
      </c>
      <c r="C14" s="215"/>
      <c r="D14" s="215"/>
      <c r="E14" s="215"/>
      <c r="F14" s="215"/>
      <c r="G14" s="216">
        <f>Data!T4</f>
        <v>0</v>
      </c>
      <c r="H14" s="216"/>
      <c r="I14" s="216"/>
      <c r="J14" s="216"/>
      <c r="K14" s="216"/>
      <c r="L14" s="217" t="s">
        <v>157</v>
      </c>
      <c r="M14" s="217"/>
      <c r="N14" s="217"/>
      <c r="O14" s="217"/>
      <c r="P14" s="217"/>
      <c r="Q14" s="216">
        <f>Data!EB4</f>
        <v>52569</v>
      </c>
      <c r="R14" s="216"/>
      <c r="S14" s="216"/>
      <c r="T14" s="216"/>
      <c r="U14" s="216"/>
      <c r="V14" s="217" t="s">
        <v>158</v>
      </c>
      <c r="W14" s="217"/>
      <c r="X14" s="217"/>
      <c r="Y14" s="217"/>
      <c r="Z14" s="217"/>
      <c r="AA14" s="216">
        <f>Data!EC4</f>
        <v>52569</v>
      </c>
      <c r="AB14" s="216"/>
      <c r="AC14" s="216"/>
      <c r="AD14" s="216"/>
      <c r="AE14" s="216"/>
      <c r="AF14" s="97"/>
      <c r="AG14" s="97"/>
      <c r="AH14" s="49"/>
    </row>
    <row r="15" spans="1:67" ht="16.2" thickBot="1" x14ac:dyDescent="0.35">
      <c r="A15" s="57"/>
      <c r="B15" s="155" t="s">
        <v>97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7"/>
      <c r="AH15" s="49"/>
      <c r="AI15" s="82"/>
    </row>
    <row r="16" spans="1:67" s="69" customFormat="1" x14ac:dyDescent="0.3">
      <c r="A16" s="57"/>
      <c r="B16" s="143" t="s">
        <v>48</v>
      </c>
      <c r="C16" s="143"/>
      <c r="D16" s="143" t="s">
        <v>19</v>
      </c>
      <c r="E16" s="143"/>
      <c r="F16" s="143" t="s">
        <v>13</v>
      </c>
      <c r="G16" s="143"/>
      <c r="H16" s="153" t="s">
        <v>125</v>
      </c>
      <c r="I16" s="153"/>
      <c r="J16" s="153"/>
      <c r="K16" s="153"/>
      <c r="L16" s="159" t="s">
        <v>126</v>
      </c>
      <c r="M16" s="159"/>
      <c r="N16" s="159"/>
      <c r="O16" s="159"/>
      <c r="P16" s="158" t="s">
        <v>127</v>
      </c>
      <c r="Q16" s="158"/>
      <c r="R16" s="158"/>
      <c r="S16" s="158"/>
      <c r="T16" s="159" t="s">
        <v>9</v>
      </c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60"/>
      <c r="AH16" s="50"/>
      <c r="AI16" s="83"/>
      <c r="AJ16" s="85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</row>
    <row r="17" spans="1:35" ht="100.8" x14ac:dyDescent="0.3">
      <c r="A17" s="58"/>
      <c r="B17" s="150" t="str">
        <f>Data!DM4</f>
        <v>6:00</v>
      </c>
      <c r="C17" s="151"/>
      <c r="D17" s="151" t="str">
        <f>Data!DN4</f>
        <v>20:00</v>
      </c>
      <c r="E17" s="151"/>
      <c r="F17" s="144">
        <f>Data!DO4</f>
        <v>14</v>
      </c>
      <c r="G17" s="144"/>
      <c r="H17" s="137" t="str">
        <f>Data!DQ4</f>
        <v>Well Prep</v>
      </c>
      <c r="I17" s="138"/>
      <c r="J17" s="138"/>
      <c r="K17" s="139"/>
      <c r="L17" s="137" t="str">
        <f>Data!DR4</f>
        <v>Pressure Test BOPs</v>
      </c>
      <c r="M17" s="138"/>
      <c r="N17" s="138"/>
      <c r="O17" s="138"/>
      <c r="P17" s="137">
        <f>Data!DS4</f>
        <v>0</v>
      </c>
      <c r="Q17" s="138"/>
      <c r="R17" s="138"/>
      <c r="S17" s="139"/>
      <c r="T17" s="137" t="str">
        <f t="shared" ref="T17:T33" si="0">AI17</f>
        <v>Weld on wellhead as per API specs
Nipple up and test BOPE;  
Annular 250 psi low / 5,000 psi high
Blind rams, pipe rams, choke lines, manifold, floor valves, top drive valves 250 psi low / 10,000 psi high
Casing 1,500 psi
Accumulator function test</v>
      </c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45"/>
      <c r="AH17" s="49"/>
      <c r="AI17" s="71" t="str">
        <f>Data!DP4</f>
        <v>Weld on wellhead as per API specs
Nipple up and test BOPE;  
Annular 250 psi low / 5,000 psi high
Blind rams, pipe rams, choke lines, manifold, floor valves, top drive valves 250 psi low / 10,000 psi high
Casing 1,500 psi
Accumulator function test</v>
      </c>
    </row>
    <row r="18" spans="1:35" x14ac:dyDescent="0.3">
      <c r="A18" s="58"/>
      <c r="B18" s="150" t="str">
        <f>Data!DM5</f>
        <v>20:00</v>
      </c>
      <c r="C18" s="151"/>
      <c r="D18" s="151" t="str">
        <f>Data!DN5</f>
        <v>6:00</v>
      </c>
      <c r="E18" s="151"/>
      <c r="F18" s="144">
        <f>Data!DO5</f>
        <v>10</v>
      </c>
      <c r="G18" s="144"/>
      <c r="H18" s="137" t="str">
        <f>Data!DQ5</f>
        <v>Well Prep</v>
      </c>
      <c r="I18" s="138"/>
      <c r="J18" s="138"/>
      <c r="K18" s="139"/>
      <c r="L18" s="137" t="str">
        <f>Data!DR5</f>
        <v>Trips</v>
      </c>
      <c r="M18" s="138"/>
      <c r="N18" s="138"/>
      <c r="O18" s="139"/>
      <c r="P18" s="137">
        <f>Data!DS5</f>
        <v>0</v>
      </c>
      <c r="Q18" s="138"/>
      <c r="R18" s="138"/>
      <c r="S18" s="139"/>
      <c r="T18" s="137" t="str">
        <f t="shared" si="0"/>
        <v>Make up BHA and pick up 3 1/2" drill pipe to 7,300'</v>
      </c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45"/>
      <c r="AH18" s="49"/>
      <c r="AI18" s="71" t="str">
        <f>Data!DP5</f>
        <v>Make up BHA and pick up 3 1/2" drill pipe to 7,300'</v>
      </c>
    </row>
    <row r="19" spans="1:35" x14ac:dyDescent="0.3">
      <c r="A19" s="58"/>
      <c r="B19" s="150">
        <f>Data!DM6</f>
        <v>0</v>
      </c>
      <c r="C19" s="151"/>
      <c r="D19" s="151">
        <f>Data!DN6</f>
        <v>0</v>
      </c>
      <c r="E19" s="151"/>
      <c r="F19" s="144">
        <f>Data!DO6</f>
        <v>0</v>
      </c>
      <c r="G19" s="144"/>
      <c r="H19" s="137">
        <f>Data!DQ6</f>
        <v>0</v>
      </c>
      <c r="I19" s="138"/>
      <c r="J19" s="138"/>
      <c r="K19" s="139"/>
      <c r="L19" s="137">
        <f>Data!DR6</f>
        <v>0</v>
      </c>
      <c r="M19" s="138"/>
      <c r="N19" s="138"/>
      <c r="O19" s="139"/>
      <c r="P19" s="137">
        <f>Data!DS6</f>
        <v>0</v>
      </c>
      <c r="Q19" s="138"/>
      <c r="R19" s="138"/>
      <c r="S19" s="139"/>
      <c r="T19" s="137">
        <f t="shared" si="0"/>
        <v>0</v>
      </c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45"/>
      <c r="AH19" s="49"/>
      <c r="AI19" s="71">
        <f>Data!DP6</f>
        <v>0</v>
      </c>
    </row>
    <row r="20" spans="1:35" x14ac:dyDescent="0.3">
      <c r="A20" s="57"/>
      <c r="B20" s="150">
        <f>Data!DM7</f>
        <v>0</v>
      </c>
      <c r="C20" s="151"/>
      <c r="D20" s="151">
        <f>Data!DN7</f>
        <v>0</v>
      </c>
      <c r="E20" s="151"/>
      <c r="F20" s="144">
        <f>Data!DO7</f>
        <v>0</v>
      </c>
      <c r="G20" s="144"/>
      <c r="H20" s="137">
        <f>Data!DQ7</f>
        <v>0</v>
      </c>
      <c r="I20" s="138"/>
      <c r="J20" s="138"/>
      <c r="K20" s="139"/>
      <c r="L20" s="137">
        <f>Data!DR7</f>
        <v>0</v>
      </c>
      <c r="M20" s="138"/>
      <c r="N20" s="138"/>
      <c r="O20" s="139"/>
      <c r="P20" s="137">
        <f>Data!DS7</f>
        <v>0</v>
      </c>
      <c r="Q20" s="138"/>
      <c r="R20" s="138"/>
      <c r="S20" s="139"/>
      <c r="T20" s="137">
        <f t="shared" si="0"/>
        <v>0</v>
      </c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45"/>
      <c r="AH20" s="51"/>
      <c r="AI20" s="71">
        <f>Data!DP7</f>
        <v>0</v>
      </c>
    </row>
    <row r="21" spans="1:35" x14ac:dyDescent="0.3">
      <c r="A21" s="57"/>
      <c r="B21" s="150">
        <f>Data!DM8</f>
        <v>0</v>
      </c>
      <c r="C21" s="151"/>
      <c r="D21" s="151">
        <f>Data!DN8</f>
        <v>0</v>
      </c>
      <c r="E21" s="151"/>
      <c r="F21" s="144">
        <f>Data!DO8</f>
        <v>0</v>
      </c>
      <c r="G21" s="144"/>
      <c r="H21" s="137">
        <f>Data!DQ8</f>
        <v>0</v>
      </c>
      <c r="I21" s="138"/>
      <c r="J21" s="138"/>
      <c r="K21" s="139"/>
      <c r="L21" s="137">
        <f>Data!DR8</f>
        <v>0</v>
      </c>
      <c r="M21" s="138"/>
      <c r="N21" s="138"/>
      <c r="O21" s="139"/>
      <c r="P21" s="137">
        <f>Data!DS8</f>
        <v>0</v>
      </c>
      <c r="Q21" s="138"/>
      <c r="R21" s="138"/>
      <c r="S21" s="139"/>
      <c r="T21" s="137">
        <f t="shared" si="0"/>
        <v>0</v>
      </c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45"/>
      <c r="AH21" s="51"/>
      <c r="AI21" s="71">
        <f>Data!DP8</f>
        <v>0</v>
      </c>
    </row>
    <row r="22" spans="1:35" x14ac:dyDescent="0.3">
      <c r="A22" s="57"/>
      <c r="B22" s="150">
        <f>Data!DM9</f>
        <v>0</v>
      </c>
      <c r="C22" s="151"/>
      <c r="D22" s="151">
        <f>Data!DN9</f>
        <v>0</v>
      </c>
      <c r="E22" s="151"/>
      <c r="F22" s="144">
        <f>Data!DO9</f>
        <v>0</v>
      </c>
      <c r="G22" s="144"/>
      <c r="H22" s="137">
        <f>Data!DQ9</f>
        <v>0</v>
      </c>
      <c r="I22" s="138"/>
      <c r="J22" s="138"/>
      <c r="K22" s="139"/>
      <c r="L22" s="137">
        <f>Data!DR9</f>
        <v>0</v>
      </c>
      <c r="M22" s="138"/>
      <c r="N22" s="138"/>
      <c r="O22" s="139"/>
      <c r="P22" s="137">
        <f>Data!DS9</f>
        <v>0</v>
      </c>
      <c r="Q22" s="138"/>
      <c r="R22" s="138"/>
      <c r="S22" s="139"/>
      <c r="T22" s="137">
        <f t="shared" si="0"/>
        <v>0</v>
      </c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45"/>
      <c r="AH22" s="48"/>
      <c r="AI22" s="71">
        <f>Data!DP9</f>
        <v>0</v>
      </c>
    </row>
    <row r="23" spans="1:35" x14ac:dyDescent="0.3">
      <c r="A23" s="57"/>
      <c r="B23" s="150">
        <f>Data!DM10</f>
        <v>0</v>
      </c>
      <c r="C23" s="151"/>
      <c r="D23" s="151">
        <f>Data!DN10</f>
        <v>0</v>
      </c>
      <c r="E23" s="151"/>
      <c r="F23" s="144">
        <f>Data!DO10</f>
        <v>0</v>
      </c>
      <c r="G23" s="144"/>
      <c r="H23" s="137">
        <f>Data!DQ10</f>
        <v>0</v>
      </c>
      <c r="I23" s="138"/>
      <c r="J23" s="138"/>
      <c r="K23" s="139"/>
      <c r="L23" s="137">
        <f>Data!DR10</f>
        <v>0</v>
      </c>
      <c r="M23" s="138"/>
      <c r="N23" s="138"/>
      <c r="O23" s="139"/>
      <c r="P23" s="137">
        <f>Data!DS10</f>
        <v>0</v>
      </c>
      <c r="Q23" s="138"/>
      <c r="R23" s="138"/>
      <c r="S23" s="139"/>
      <c r="T23" s="137">
        <f t="shared" si="0"/>
        <v>0</v>
      </c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45"/>
      <c r="AH23" s="48"/>
      <c r="AI23" s="71">
        <f>Data!DP10</f>
        <v>0</v>
      </c>
    </row>
    <row r="24" spans="1:35" x14ac:dyDescent="0.3">
      <c r="A24" s="57"/>
      <c r="B24" s="150">
        <f>Data!DM11</f>
        <v>0</v>
      </c>
      <c r="C24" s="151"/>
      <c r="D24" s="151">
        <f>Data!DN11</f>
        <v>0</v>
      </c>
      <c r="E24" s="151"/>
      <c r="F24" s="144">
        <f>Data!DO11</f>
        <v>0</v>
      </c>
      <c r="G24" s="144"/>
      <c r="H24" s="137">
        <f>Data!DQ11</f>
        <v>0</v>
      </c>
      <c r="I24" s="138"/>
      <c r="J24" s="138"/>
      <c r="K24" s="139"/>
      <c r="L24" s="137">
        <f>Data!DR11</f>
        <v>0</v>
      </c>
      <c r="M24" s="138"/>
      <c r="N24" s="138"/>
      <c r="O24" s="139"/>
      <c r="P24" s="137">
        <f>Data!DS11</f>
        <v>0</v>
      </c>
      <c r="Q24" s="138"/>
      <c r="R24" s="138"/>
      <c r="S24" s="139"/>
      <c r="T24" s="137">
        <f t="shared" si="0"/>
        <v>0</v>
      </c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45"/>
      <c r="AH24" s="48"/>
      <c r="AI24" s="71">
        <f>Data!DP11</f>
        <v>0</v>
      </c>
    </row>
    <row r="25" spans="1:35" x14ac:dyDescent="0.3">
      <c r="A25" s="57"/>
      <c r="B25" s="150">
        <f>Data!DM12</f>
        <v>0</v>
      </c>
      <c r="C25" s="151"/>
      <c r="D25" s="151">
        <f>Data!DN12</f>
        <v>0</v>
      </c>
      <c r="E25" s="151"/>
      <c r="F25" s="144">
        <f>Data!DO12</f>
        <v>0</v>
      </c>
      <c r="G25" s="144"/>
      <c r="H25" s="137">
        <f>Data!DQ12</f>
        <v>0</v>
      </c>
      <c r="I25" s="138"/>
      <c r="J25" s="138"/>
      <c r="K25" s="139"/>
      <c r="L25" s="137">
        <f>Data!DR12</f>
        <v>0</v>
      </c>
      <c r="M25" s="138"/>
      <c r="N25" s="138"/>
      <c r="O25" s="139"/>
      <c r="P25" s="137">
        <f>Data!DS12</f>
        <v>0</v>
      </c>
      <c r="Q25" s="138"/>
      <c r="R25" s="138"/>
      <c r="S25" s="139"/>
      <c r="T25" s="137">
        <f t="shared" si="0"/>
        <v>0</v>
      </c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45"/>
      <c r="AH25" s="52"/>
      <c r="AI25" s="71">
        <f>Data!DP12</f>
        <v>0</v>
      </c>
    </row>
    <row r="26" spans="1:35" x14ac:dyDescent="0.3">
      <c r="A26" s="57"/>
      <c r="B26" s="150">
        <f>Data!DM13</f>
        <v>0</v>
      </c>
      <c r="C26" s="151"/>
      <c r="D26" s="151">
        <f>Data!DN13</f>
        <v>0</v>
      </c>
      <c r="E26" s="151"/>
      <c r="F26" s="144">
        <f>Data!DO13</f>
        <v>0</v>
      </c>
      <c r="G26" s="144"/>
      <c r="H26" s="137">
        <f>Data!DQ13</f>
        <v>0</v>
      </c>
      <c r="I26" s="138"/>
      <c r="J26" s="138"/>
      <c r="K26" s="139"/>
      <c r="L26" s="137">
        <f>Data!DR13</f>
        <v>0</v>
      </c>
      <c r="M26" s="138"/>
      <c r="N26" s="138"/>
      <c r="O26" s="139"/>
      <c r="P26" s="137">
        <f>Data!DS13</f>
        <v>0</v>
      </c>
      <c r="Q26" s="138"/>
      <c r="R26" s="138"/>
      <c r="S26" s="139"/>
      <c r="T26" s="137">
        <f t="shared" si="0"/>
        <v>0</v>
      </c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45"/>
      <c r="AH26" s="53"/>
      <c r="AI26" s="71">
        <f>Data!DP13</f>
        <v>0</v>
      </c>
    </row>
    <row r="27" spans="1:35" x14ac:dyDescent="0.3">
      <c r="A27" s="57"/>
      <c r="B27" s="150">
        <f>Data!DM14</f>
        <v>0</v>
      </c>
      <c r="C27" s="151"/>
      <c r="D27" s="151">
        <f>Data!DN14</f>
        <v>0</v>
      </c>
      <c r="E27" s="151"/>
      <c r="F27" s="144">
        <f>Data!DO14</f>
        <v>0</v>
      </c>
      <c r="G27" s="144"/>
      <c r="H27" s="137">
        <f>Data!DQ14</f>
        <v>0</v>
      </c>
      <c r="I27" s="138"/>
      <c r="J27" s="138"/>
      <c r="K27" s="139"/>
      <c r="L27" s="137">
        <f>Data!DR14</f>
        <v>0</v>
      </c>
      <c r="M27" s="138"/>
      <c r="N27" s="138"/>
      <c r="O27" s="139"/>
      <c r="P27" s="137">
        <f>Data!DS14</f>
        <v>0</v>
      </c>
      <c r="Q27" s="138"/>
      <c r="R27" s="138"/>
      <c r="S27" s="139"/>
      <c r="T27" s="137">
        <f t="shared" si="0"/>
        <v>0</v>
      </c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45"/>
      <c r="AH27" s="54"/>
      <c r="AI27" s="71">
        <f>Data!DP14</f>
        <v>0</v>
      </c>
    </row>
    <row r="28" spans="1:35" x14ac:dyDescent="0.3">
      <c r="A28" s="57"/>
      <c r="B28" s="150">
        <f>Data!DM15</f>
        <v>0</v>
      </c>
      <c r="C28" s="151"/>
      <c r="D28" s="151">
        <f>Data!DN15</f>
        <v>0</v>
      </c>
      <c r="E28" s="151"/>
      <c r="F28" s="144">
        <f>Data!DO15</f>
        <v>0</v>
      </c>
      <c r="G28" s="144"/>
      <c r="H28" s="137">
        <f>Data!DQ15</f>
        <v>0</v>
      </c>
      <c r="I28" s="138"/>
      <c r="J28" s="138"/>
      <c r="K28" s="139"/>
      <c r="L28" s="137">
        <f>Data!DR15</f>
        <v>0</v>
      </c>
      <c r="M28" s="138"/>
      <c r="N28" s="138"/>
      <c r="O28" s="139"/>
      <c r="P28" s="137">
        <f>Data!DS15</f>
        <v>0</v>
      </c>
      <c r="Q28" s="138"/>
      <c r="R28" s="138"/>
      <c r="S28" s="139"/>
      <c r="T28" s="137">
        <f t="shared" si="0"/>
        <v>0</v>
      </c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45"/>
      <c r="AH28" s="54"/>
      <c r="AI28" s="71">
        <f>Data!DP15</f>
        <v>0</v>
      </c>
    </row>
    <row r="29" spans="1:35" x14ac:dyDescent="0.3">
      <c r="A29" s="57"/>
      <c r="B29" s="150">
        <f>Data!DM16</f>
        <v>0</v>
      </c>
      <c r="C29" s="151"/>
      <c r="D29" s="151">
        <f>Data!DN16</f>
        <v>0</v>
      </c>
      <c r="E29" s="151"/>
      <c r="F29" s="144">
        <f>Data!DO16</f>
        <v>0</v>
      </c>
      <c r="G29" s="144"/>
      <c r="H29" s="137">
        <f>Data!DQ16</f>
        <v>0</v>
      </c>
      <c r="I29" s="138"/>
      <c r="J29" s="138"/>
      <c r="K29" s="139"/>
      <c r="L29" s="137">
        <f>Data!DR16</f>
        <v>0</v>
      </c>
      <c r="M29" s="138"/>
      <c r="N29" s="138"/>
      <c r="O29" s="139"/>
      <c r="P29" s="137">
        <f>Data!DS16</f>
        <v>0</v>
      </c>
      <c r="Q29" s="138"/>
      <c r="R29" s="138"/>
      <c r="S29" s="139"/>
      <c r="T29" s="137">
        <f t="shared" si="0"/>
        <v>0</v>
      </c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45"/>
      <c r="AH29" s="54"/>
      <c r="AI29" s="71">
        <f>Data!DP16</f>
        <v>0</v>
      </c>
    </row>
    <row r="30" spans="1:35" x14ac:dyDescent="0.3">
      <c r="A30" s="57"/>
      <c r="B30" s="150">
        <f>Data!DM17</f>
        <v>0</v>
      </c>
      <c r="C30" s="151"/>
      <c r="D30" s="151">
        <f>Data!DN17</f>
        <v>0</v>
      </c>
      <c r="E30" s="151"/>
      <c r="F30" s="144">
        <f>Data!DO17</f>
        <v>0</v>
      </c>
      <c r="G30" s="144"/>
      <c r="H30" s="137">
        <f>Data!DQ17</f>
        <v>0</v>
      </c>
      <c r="I30" s="138"/>
      <c r="J30" s="138"/>
      <c r="K30" s="139"/>
      <c r="L30" s="137">
        <f>Data!DR17</f>
        <v>0</v>
      </c>
      <c r="M30" s="138"/>
      <c r="N30" s="138"/>
      <c r="O30" s="139"/>
      <c r="P30" s="137">
        <f>Data!DS17</f>
        <v>0</v>
      </c>
      <c r="Q30" s="138"/>
      <c r="R30" s="138"/>
      <c r="S30" s="139"/>
      <c r="T30" s="137">
        <f t="shared" si="0"/>
        <v>0</v>
      </c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45"/>
      <c r="AH30" s="54"/>
      <c r="AI30" s="71">
        <f>Data!DP17</f>
        <v>0</v>
      </c>
    </row>
    <row r="31" spans="1:35" x14ac:dyDescent="0.3">
      <c r="A31" s="57"/>
      <c r="B31" s="150">
        <f>Data!DM18</f>
        <v>0</v>
      </c>
      <c r="C31" s="151"/>
      <c r="D31" s="151">
        <f>Data!DN18</f>
        <v>0</v>
      </c>
      <c r="E31" s="151"/>
      <c r="F31" s="144">
        <f>Data!DO18</f>
        <v>0</v>
      </c>
      <c r="G31" s="144"/>
      <c r="H31" s="137">
        <f>Data!DQ18</f>
        <v>0</v>
      </c>
      <c r="I31" s="138"/>
      <c r="J31" s="138"/>
      <c r="K31" s="139"/>
      <c r="L31" s="137">
        <f>Data!DR18</f>
        <v>0</v>
      </c>
      <c r="M31" s="138"/>
      <c r="N31" s="138"/>
      <c r="O31" s="139"/>
      <c r="P31" s="137">
        <f>Data!DS18</f>
        <v>0</v>
      </c>
      <c r="Q31" s="138"/>
      <c r="R31" s="138"/>
      <c r="S31" s="139"/>
      <c r="T31" s="137">
        <f t="shared" si="0"/>
        <v>0</v>
      </c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45"/>
      <c r="AH31" s="54"/>
      <c r="AI31" s="71">
        <f>Data!DP18</f>
        <v>0</v>
      </c>
    </row>
    <row r="32" spans="1:35" x14ac:dyDescent="0.3">
      <c r="A32" s="57"/>
      <c r="B32" s="150">
        <f>Data!DM19</f>
        <v>0</v>
      </c>
      <c r="C32" s="151"/>
      <c r="D32" s="151">
        <f>Data!DN19</f>
        <v>0</v>
      </c>
      <c r="E32" s="151"/>
      <c r="F32" s="144">
        <f>Data!DO19</f>
        <v>0</v>
      </c>
      <c r="G32" s="144"/>
      <c r="H32" s="137">
        <f>Data!DQ19</f>
        <v>0</v>
      </c>
      <c r="I32" s="138"/>
      <c r="J32" s="138"/>
      <c r="K32" s="139"/>
      <c r="L32" s="137">
        <f>Data!DR19</f>
        <v>0</v>
      </c>
      <c r="M32" s="138"/>
      <c r="N32" s="138"/>
      <c r="O32" s="139"/>
      <c r="P32" s="137">
        <f>Data!DS19</f>
        <v>0</v>
      </c>
      <c r="Q32" s="138"/>
      <c r="R32" s="138"/>
      <c r="S32" s="139"/>
      <c r="T32" s="137">
        <f t="shared" si="0"/>
        <v>0</v>
      </c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45"/>
      <c r="AH32" s="54"/>
      <c r="AI32" s="71">
        <f>Data!DP19</f>
        <v>0</v>
      </c>
    </row>
    <row r="33" spans="1:35" x14ac:dyDescent="0.3">
      <c r="A33" s="57"/>
      <c r="B33" s="150">
        <f>Data!DM20</f>
        <v>0</v>
      </c>
      <c r="C33" s="151"/>
      <c r="D33" s="151">
        <f>Data!DN20</f>
        <v>0</v>
      </c>
      <c r="E33" s="151"/>
      <c r="F33" s="144">
        <f>Data!DO20</f>
        <v>0</v>
      </c>
      <c r="G33" s="144"/>
      <c r="H33" s="137">
        <f>Data!DQ20</f>
        <v>0</v>
      </c>
      <c r="I33" s="138"/>
      <c r="J33" s="138"/>
      <c r="K33" s="139"/>
      <c r="L33" s="137">
        <f>Data!DR20</f>
        <v>0</v>
      </c>
      <c r="M33" s="138"/>
      <c r="N33" s="138"/>
      <c r="O33" s="139"/>
      <c r="P33" s="137">
        <f>Data!DS20</f>
        <v>0</v>
      </c>
      <c r="Q33" s="138"/>
      <c r="R33" s="138"/>
      <c r="S33" s="139"/>
      <c r="T33" s="137">
        <f t="shared" si="0"/>
        <v>0</v>
      </c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45"/>
      <c r="AH33" s="55"/>
      <c r="AI33" s="71">
        <f>Data!DP20</f>
        <v>0</v>
      </c>
    </row>
    <row r="34" spans="1:35" ht="15" thickBot="1" x14ac:dyDescent="0.35">
      <c r="A34" s="57"/>
      <c r="B34" s="199" t="s">
        <v>23</v>
      </c>
      <c r="C34" s="188"/>
      <c r="D34" s="188"/>
      <c r="E34" s="188"/>
      <c r="F34" s="187">
        <f>SUM(F17:G33)</f>
        <v>24</v>
      </c>
      <c r="G34" s="187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9"/>
      <c r="AH34" s="56"/>
      <c r="AI34" s="84"/>
    </row>
    <row r="35" spans="1:35" ht="15.6" x14ac:dyDescent="0.3">
      <c r="A35" s="57"/>
      <c r="B35" s="176" t="s">
        <v>98</v>
      </c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8"/>
      <c r="AH35" s="56"/>
    </row>
    <row r="36" spans="1:35" x14ac:dyDescent="0.3">
      <c r="B36" s="165" t="s">
        <v>31</v>
      </c>
      <c r="C36" s="166"/>
      <c r="D36" s="166"/>
      <c r="E36" s="166"/>
      <c r="F36" s="166"/>
      <c r="G36" s="166"/>
      <c r="H36" s="183" t="str">
        <f>Data!AR4</f>
        <v>Mud</v>
      </c>
      <c r="I36" s="183"/>
      <c r="J36" s="183"/>
      <c r="K36" s="183"/>
      <c r="L36" s="183"/>
      <c r="M36" s="183"/>
      <c r="N36" s="183"/>
      <c r="O36" s="183"/>
      <c r="P36" s="166" t="s">
        <v>11</v>
      </c>
      <c r="Q36" s="166"/>
      <c r="R36" s="166"/>
      <c r="S36" s="166"/>
      <c r="T36" s="166"/>
      <c r="U36" s="171">
        <f>Data!AS4</f>
        <v>9</v>
      </c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2"/>
      <c r="AH36" s="56"/>
    </row>
    <row r="37" spans="1:35" x14ac:dyDescent="0.3">
      <c r="B37" s="165" t="s">
        <v>51</v>
      </c>
      <c r="C37" s="166"/>
      <c r="D37" s="166"/>
      <c r="E37" s="166"/>
      <c r="F37" s="166"/>
      <c r="G37" s="166"/>
      <c r="H37" s="142">
        <f>Data!AU4</f>
        <v>0</v>
      </c>
      <c r="I37" s="142"/>
      <c r="J37" s="142"/>
      <c r="K37" s="142"/>
      <c r="L37" s="142"/>
      <c r="M37" s="142"/>
      <c r="N37" s="142"/>
      <c r="O37" s="142"/>
      <c r="P37" s="182" t="s">
        <v>45</v>
      </c>
      <c r="Q37" s="182"/>
      <c r="R37" s="182"/>
      <c r="S37" s="182"/>
      <c r="T37" s="182"/>
      <c r="U37" s="142">
        <f>Data!AV4</f>
        <v>0</v>
      </c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52"/>
      <c r="AH37" s="37"/>
    </row>
    <row r="38" spans="1:35" ht="15.6" x14ac:dyDescent="0.3">
      <c r="A38" s="57"/>
      <c r="B38" s="173" t="s">
        <v>0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5"/>
      <c r="AH38" s="56"/>
    </row>
    <row r="39" spans="1:35" x14ac:dyDescent="0.3">
      <c r="B39" s="198" t="s">
        <v>60</v>
      </c>
      <c r="C39" s="168"/>
      <c r="D39" s="168"/>
      <c r="E39" s="169"/>
      <c r="F39" s="167" t="s">
        <v>28</v>
      </c>
      <c r="G39" s="168"/>
      <c r="H39" s="168"/>
      <c r="I39" s="168"/>
      <c r="J39" s="169"/>
      <c r="K39" s="167" t="s">
        <v>30</v>
      </c>
      <c r="L39" s="168"/>
      <c r="M39" s="168"/>
      <c r="N39" s="168"/>
      <c r="O39" s="169"/>
      <c r="P39" s="162" t="s">
        <v>59</v>
      </c>
      <c r="Q39" s="163"/>
      <c r="R39" s="163"/>
      <c r="S39" s="163"/>
      <c r="T39" s="164"/>
      <c r="U39" s="167" t="s">
        <v>32</v>
      </c>
      <c r="V39" s="168"/>
      <c r="W39" s="168"/>
      <c r="X39" s="169"/>
      <c r="Y39" s="162" t="s">
        <v>7</v>
      </c>
      <c r="Z39" s="163"/>
      <c r="AA39" s="163"/>
      <c r="AB39" s="164"/>
      <c r="AC39" s="167" t="s">
        <v>44</v>
      </c>
      <c r="AD39" s="168"/>
      <c r="AE39" s="168"/>
      <c r="AF39" s="168"/>
      <c r="AG39" s="169"/>
      <c r="AH39" s="56"/>
    </row>
    <row r="40" spans="1:35" x14ac:dyDescent="0.3">
      <c r="B40" s="154" t="str">
        <f>Data!BB4</f>
        <v>Fuel</v>
      </c>
      <c r="C40" s="154"/>
      <c r="D40" s="154"/>
      <c r="E40" s="154"/>
      <c r="F40" s="142">
        <f>Data!BC4</f>
        <v>0</v>
      </c>
      <c r="G40" s="142"/>
      <c r="H40" s="142"/>
      <c r="I40" s="142"/>
      <c r="J40" s="142"/>
      <c r="K40" s="142">
        <f>Data!BD4</f>
        <v>1811</v>
      </c>
      <c r="L40" s="142"/>
      <c r="M40" s="142"/>
      <c r="N40" s="142"/>
      <c r="O40" s="142"/>
      <c r="P40" s="142">
        <f>Data!BE4</f>
        <v>-1811</v>
      </c>
      <c r="Q40" s="142"/>
      <c r="R40" s="142"/>
      <c r="S40" s="142"/>
      <c r="T40" s="142"/>
      <c r="U40" s="142">
        <f>Data!BF4</f>
        <v>13360</v>
      </c>
      <c r="V40" s="142"/>
      <c r="W40" s="142"/>
      <c r="X40" s="142"/>
      <c r="Y40" s="142">
        <f>Data!BG4</f>
        <v>3137</v>
      </c>
      <c r="Z40" s="142"/>
      <c r="AA40" s="142"/>
      <c r="AB40" s="142"/>
      <c r="AC40" s="142">
        <f>Data!BH4</f>
        <v>10223</v>
      </c>
      <c r="AD40" s="142"/>
      <c r="AE40" s="142"/>
      <c r="AF40" s="142"/>
      <c r="AG40" s="170"/>
      <c r="AH40" s="56"/>
    </row>
    <row r="41" spans="1:35" x14ac:dyDescent="0.3">
      <c r="B41" s="154" t="str">
        <f>Data!BB5</f>
        <v>Drill Water</v>
      </c>
      <c r="C41" s="154"/>
      <c r="D41" s="154"/>
      <c r="E41" s="154"/>
      <c r="F41" s="142">
        <f>Data!BC5</f>
        <v>314</v>
      </c>
      <c r="G41" s="142"/>
      <c r="H41" s="142"/>
      <c r="I41" s="142"/>
      <c r="J41" s="142"/>
      <c r="K41" s="142">
        <f>Data!BD5</f>
        <v>0</v>
      </c>
      <c r="L41" s="142"/>
      <c r="M41" s="142"/>
      <c r="N41" s="142"/>
      <c r="O41" s="142"/>
      <c r="P41" s="142">
        <f>Data!BE5</f>
        <v>314</v>
      </c>
      <c r="Q41" s="142"/>
      <c r="R41" s="142"/>
      <c r="S41" s="142"/>
      <c r="T41" s="142"/>
      <c r="U41" s="142">
        <f>Data!BF5</f>
        <v>314</v>
      </c>
      <c r="V41" s="142"/>
      <c r="W41" s="142"/>
      <c r="X41" s="142"/>
      <c r="Y41" s="142">
        <f>Data!BG5</f>
        <v>0</v>
      </c>
      <c r="Z41" s="142"/>
      <c r="AA41" s="142"/>
      <c r="AB41" s="142"/>
      <c r="AC41" s="142">
        <f>Data!BH5</f>
        <v>314</v>
      </c>
      <c r="AD41" s="142"/>
      <c r="AE41" s="142"/>
      <c r="AF41" s="142"/>
      <c r="AG41" s="170"/>
      <c r="AH41" s="56"/>
    </row>
    <row r="42" spans="1:35" x14ac:dyDescent="0.3">
      <c r="B42" s="154">
        <f>Data!BB6</f>
        <v>0</v>
      </c>
      <c r="C42" s="154"/>
      <c r="D42" s="154"/>
      <c r="E42" s="154"/>
      <c r="F42" s="142">
        <f>Data!BC6</f>
        <v>0</v>
      </c>
      <c r="G42" s="142"/>
      <c r="H42" s="142"/>
      <c r="I42" s="142"/>
      <c r="J42" s="142"/>
      <c r="K42" s="142">
        <f>Data!BD6</f>
        <v>0</v>
      </c>
      <c r="L42" s="142"/>
      <c r="M42" s="142"/>
      <c r="N42" s="142"/>
      <c r="O42" s="142"/>
      <c r="P42" s="142">
        <f>Data!BE6</f>
        <v>0</v>
      </c>
      <c r="Q42" s="142"/>
      <c r="R42" s="142"/>
      <c r="S42" s="142"/>
      <c r="T42" s="142"/>
      <c r="U42" s="142">
        <f>Data!BF6</f>
        <v>0</v>
      </c>
      <c r="V42" s="142"/>
      <c r="W42" s="142"/>
      <c r="X42" s="142"/>
      <c r="Y42" s="142">
        <f>Data!BG6</f>
        <v>0</v>
      </c>
      <c r="Z42" s="142"/>
      <c r="AA42" s="142"/>
      <c r="AB42" s="142"/>
      <c r="AC42" s="142">
        <f>Data!BH6</f>
        <v>0</v>
      </c>
      <c r="AD42" s="142"/>
      <c r="AE42" s="142"/>
      <c r="AF42" s="142"/>
      <c r="AG42" s="170"/>
      <c r="AH42" s="56"/>
    </row>
    <row r="43" spans="1:35" x14ac:dyDescent="0.3">
      <c r="B43" s="154">
        <f>Data!BB7</f>
        <v>0</v>
      </c>
      <c r="C43" s="154"/>
      <c r="D43" s="154"/>
      <c r="E43" s="154"/>
      <c r="F43" s="142">
        <f>Data!BC7</f>
        <v>0</v>
      </c>
      <c r="G43" s="142"/>
      <c r="H43" s="142"/>
      <c r="I43" s="142"/>
      <c r="J43" s="142"/>
      <c r="K43" s="142">
        <f>Data!BD7</f>
        <v>0</v>
      </c>
      <c r="L43" s="142"/>
      <c r="M43" s="142"/>
      <c r="N43" s="142"/>
      <c r="O43" s="142"/>
      <c r="P43" s="142">
        <f>Data!BE7</f>
        <v>0</v>
      </c>
      <c r="Q43" s="142"/>
      <c r="R43" s="142"/>
      <c r="S43" s="142"/>
      <c r="T43" s="142"/>
      <c r="U43" s="142">
        <f>Data!BF7</f>
        <v>0</v>
      </c>
      <c r="V43" s="142"/>
      <c r="W43" s="142"/>
      <c r="X43" s="142"/>
      <c r="Y43" s="142">
        <f>Data!BG7</f>
        <v>0</v>
      </c>
      <c r="Z43" s="142"/>
      <c r="AA43" s="142"/>
      <c r="AB43" s="142"/>
      <c r="AC43" s="142">
        <f>Data!BH7</f>
        <v>0</v>
      </c>
      <c r="AD43" s="142"/>
      <c r="AE43" s="142"/>
      <c r="AF43" s="142"/>
      <c r="AG43" s="170"/>
      <c r="AH43" s="56"/>
    </row>
    <row r="44" spans="1:35" ht="15.6" x14ac:dyDescent="0.3">
      <c r="A44" s="57"/>
      <c r="B44" s="173" t="s">
        <v>100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5"/>
      <c r="AH44" s="56"/>
    </row>
    <row r="45" spans="1:35" x14ac:dyDescent="0.3">
      <c r="B45" s="193" t="s">
        <v>8</v>
      </c>
      <c r="C45" s="161"/>
      <c r="D45" s="161"/>
      <c r="E45" s="161"/>
      <c r="F45" s="161"/>
      <c r="G45" s="161"/>
      <c r="H45" s="161"/>
      <c r="I45" s="146" t="str">
        <f>Data!AI4</f>
        <v>NIPPLE UP / NIPPLE DOWN BOP STACK</v>
      </c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7"/>
      <c r="AH45" s="56"/>
    </row>
    <row r="46" spans="1:35" x14ac:dyDescent="0.3">
      <c r="B46" s="193" t="s">
        <v>46</v>
      </c>
      <c r="C46" s="161"/>
      <c r="D46" s="161"/>
      <c r="E46" s="161"/>
      <c r="F46" s="161"/>
      <c r="G46" s="161"/>
      <c r="H46" s="161"/>
      <c r="I46" s="190">
        <f>Data!BU4</f>
        <v>44201</v>
      </c>
      <c r="J46" s="190"/>
      <c r="K46" s="190"/>
      <c r="L46" s="190"/>
      <c r="M46" s="190"/>
      <c r="N46" s="190"/>
      <c r="O46" s="190"/>
      <c r="P46" s="161" t="s">
        <v>33</v>
      </c>
      <c r="Q46" s="161"/>
      <c r="R46" s="161"/>
      <c r="S46" s="161"/>
      <c r="T46" s="161"/>
      <c r="U46" s="190">
        <f>Data!BV4</f>
        <v>44232</v>
      </c>
      <c r="V46" s="190"/>
      <c r="W46" s="190"/>
      <c r="X46" s="190"/>
      <c r="Y46" s="190"/>
      <c r="Z46" s="161" t="s">
        <v>12</v>
      </c>
      <c r="AA46" s="161"/>
      <c r="AB46" s="161"/>
      <c r="AC46" s="191">
        <f>Data!AK4</f>
        <v>0</v>
      </c>
      <c r="AD46" s="191"/>
      <c r="AE46" s="191"/>
      <c r="AF46" s="191"/>
      <c r="AG46" s="192"/>
      <c r="AH46" s="56"/>
    </row>
    <row r="47" spans="1:35" ht="16.2" thickBot="1" x14ac:dyDescent="0.35">
      <c r="A47" s="57"/>
      <c r="B47" s="179" t="s">
        <v>99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1"/>
      <c r="AH47" s="56"/>
    </row>
    <row r="48" spans="1:35" x14ac:dyDescent="0.3">
      <c r="A48" s="57"/>
      <c r="B48" s="143" t="s">
        <v>60</v>
      </c>
      <c r="C48" s="143"/>
      <c r="D48" s="143"/>
      <c r="E48" s="143"/>
      <c r="F48" s="143"/>
      <c r="G48" s="143"/>
      <c r="H48" s="143"/>
      <c r="I48" s="143"/>
      <c r="J48" s="143" t="s">
        <v>6</v>
      </c>
      <c r="K48" s="143"/>
      <c r="L48" s="143" t="s">
        <v>16</v>
      </c>
      <c r="M48" s="143"/>
      <c r="N48" s="143" t="s">
        <v>11</v>
      </c>
      <c r="O48" s="143"/>
      <c r="P48" s="143"/>
      <c r="Q48" s="143" t="s">
        <v>14</v>
      </c>
      <c r="R48" s="143"/>
      <c r="S48" s="143"/>
      <c r="T48" s="143" t="s">
        <v>63</v>
      </c>
      <c r="U48" s="143"/>
      <c r="V48" s="143"/>
      <c r="W48" s="143" t="s">
        <v>55</v>
      </c>
      <c r="X48" s="143"/>
      <c r="Y48" s="143"/>
      <c r="Z48" s="143" t="s">
        <v>15</v>
      </c>
      <c r="AA48" s="143"/>
      <c r="AB48" s="143"/>
      <c r="AC48" s="143"/>
      <c r="AD48" s="143"/>
      <c r="AE48" s="143"/>
      <c r="AF48" s="143"/>
      <c r="AG48" s="143"/>
      <c r="AH48" s="56"/>
    </row>
    <row r="49" spans="1:34" x14ac:dyDescent="0.3">
      <c r="A49" s="57"/>
      <c r="B49" s="194" t="str">
        <f>Data!CQ4</f>
        <v>Conductor</v>
      </c>
      <c r="C49" s="111"/>
      <c r="D49" s="111"/>
      <c r="E49" s="111"/>
      <c r="F49" s="111"/>
      <c r="G49" s="111"/>
      <c r="H49" s="111"/>
      <c r="I49" s="111"/>
      <c r="J49" s="149">
        <f>Data!CS4</f>
        <v>20</v>
      </c>
      <c r="K49" s="149"/>
      <c r="L49" s="148">
        <f>Data!CT4</f>
        <v>19</v>
      </c>
      <c r="M49" s="148"/>
      <c r="N49" s="144" t="str">
        <f>Data!CU4</f>
        <v>54</v>
      </c>
      <c r="O49" s="144"/>
      <c r="P49" s="144"/>
      <c r="Q49" s="149" t="str">
        <f>Data!CV4</f>
        <v>A53B</v>
      </c>
      <c r="R49" s="149"/>
      <c r="S49" s="149"/>
      <c r="T49" s="100">
        <f>Data!CY4</f>
        <v>130</v>
      </c>
      <c r="U49" s="100"/>
      <c r="V49" s="100"/>
      <c r="W49" s="108" t="str">
        <f>Data!CW4</f>
        <v>Welded</v>
      </c>
      <c r="X49" s="108"/>
      <c r="Y49" s="108"/>
      <c r="Z49" s="110">
        <f>Data!DF4</f>
        <v>0</v>
      </c>
      <c r="AA49" s="111"/>
      <c r="AB49" s="111"/>
      <c r="AC49" s="111"/>
      <c r="AD49" s="111"/>
      <c r="AE49" s="111"/>
      <c r="AF49" s="111"/>
      <c r="AG49" s="112"/>
      <c r="AH49" s="56"/>
    </row>
    <row r="50" spans="1:34" x14ac:dyDescent="0.3">
      <c r="A50" s="57"/>
      <c r="B50" s="194" t="str">
        <f>Data!CQ5</f>
        <v>Surface</v>
      </c>
      <c r="C50" s="111"/>
      <c r="D50" s="111"/>
      <c r="E50" s="111"/>
      <c r="F50" s="111"/>
      <c r="G50" s="111"/>
      <c r="H50" s="111"/>
      <c r="I50" s="111"/>
      <c r="J50" s="149">
        <f>Data!CS5</f>
        <v>13.375</v>
      </c>
      <c r="K50" s="149"/>
      <c r="L50" s="148">
        <f>Data!CT5</f>
        <v>12.41</v>
      </c>
      <c r="M50" s="148"/>
      <c r="N50" s="144" t="str">
        <f>Data!CU5</f>
        <v>68</v>
      </c>
      <c r="O50" s="144"/>
      <c r="P50" s="144"/>
      <c r="Q50" s="149" t="str">
        <f>Data!CV5</f>
        <v>L-80</v>
      </c>
      <c r="R50" s="149"/>
      <c r="S50" s="149"/>
      <c r="T50" s="100">
        <f>Data!CY5</f>
        <v>1629</v>
      </c>
      <c r="U50" s="100"/>
      <c r="V50" s="100"/>
      <c r="W50" s="108" t="str">
        <f>Data!CW5</f>
        <v>BTC</v>
      </c>
      <c r="X50" s="108"/>
      <c r="Y50" s="108"/>
      <c r="Z50" s="110">
        <f>Data!DF5</f>
        <v>0</v>
      </c>
      <c r="AA50" s="111"/>
      <c r="AB50" s="111"/>
      <c r="AC50" s="111"/>
      <c r="AD50" s="111"/>
      <c r="AE50" s="111"/>
      <c r="AF50" s="111"/>
      <c r="AG50" s="112"/>
      <c r="AH50" s="56"/>
    </row>
    <row r="51" spans="1:34" x14ac:dyDescent="0.3">
      <c r="A51" s="57"/>
      <c r="B51" s="194" t="str">
        <f>Data!CQ6</f>
        <v>Intermediate</v>
      </c>
      <c r="C51" s="111"/>
      <c r="D51" s="111"/>
      <c r="E51" s="111"/>
      <c r="F51" s="111"/>
      <c r="G51" s="111"/>
      <c r="H51" s="111"/>
      <c r="I51" s="111"/>
      <c r="J51" s="149">
        <f>Data!CS6</f>
        <v>9.625</v>
      </c>
      <c r="K51" s="149"/>
      <c r="L51" s="148">
        <f>Data!CT6</f>
        <v>8.75</v>
      </c>
      <c r="M51" s="148"/>
      <c r="N51" s="144" t="str">
        <f>Data!CU6</f>
        <v>40</v>
      </c>
      <c r="O51" s="144"/>
      <c r="P51" s="144"/>
      <c r="Q51" s="149" t="str">
        <f>Data!CV6</f>
        <v>HCL-80</v>
      </c>
      <c r="R51" s="149"/>
      <c r="S51" s="149"/>
      <c r="T51" s="100">
        <f>Data!CY6</f>
        <v>5110</v>
      </c>
      <c r="U51" s="100"/>
      <c r="V51" s="100"/>
      <c r="W51" s="108" t="str">
        <f>Data!CW6</f>
        <v>BTC</v>
      </c>
      <c r="X51" s="108"/>
      <c r="Y51" s="108"/>
      <c r="Z51" s="110">
        <f>Data!DF6</f>
        <v>0</v>
      </c>
      <c r="AA51" s="111"/>
      <c r="AB51" s="111"/>
      <c r="AC51" s="111"/>
      <c r="AD51" s="111"/>
      <c r="AE51" s="111"/>
      <c r="AF51" s="111"/>
      <c r="AG51" s="112"/>
      <c r="AH51" s="56"/>
    </row>
    <row r="52" spans="1:34" x14ac:dyDescent="0.3">
      <c r="A52" s="57"/>
      <c r="B52" s="194" t="str">
        <f>Data!CQ7</f>
        <v>Production</v>
      </c>
      <c r="C52" s="111"/>
      <c r="D52" s="111"/>
      <c r="E52" s="111"/>
      <c r="F52" s="111"/>
      <c r="G52" s="111"/>
      <c r="H52" s="111"/>
      <c r="I52" s="111"/>
      <c r="J52" s="149">
        <f>Data!CS7</f>
        <v>7</v>
      </c>
      <c r="K52" s="149"/>
      <c r="L52" s="148">
        <f>Data!CT7</f>
        <v>5.92</v>
      </c>
      <c r="M52" s="148"/>
      <c r="N52" s="144" t="str">
        <f>Data!CU7</f>
        <v>38</v>
      </c>
      <c r="O52" s="144"/>
      <c r="P52" s="144"/>
      <c r="Q52" s="149" t="str">
        <f>Data!CV7</f>
        <v>T-95</v>
      </c>
      <c r="R52" s="149"/>
      <c r="S52" s="149"/>
      <c r="T52" s="100">
        <f>Data!CY7</f>
        <v>10787</v>
      </c>
      <c r="U52" s="100"/>
      <c r="V52" s="100"/>
      <c r="W52" s="108" t="str">
        <f>Data!CW7</f>
        <v>JFELION</v>
      </c>
      <c r="X52" s="108"/>
      <c r="Y52" s="108"/>
      <c r="Z52" s="110">
        <f>Data!DF7</f>
        <v>0</v>
      </c>
      <c r="AA52" s="111"/>
      <c r="AB52" s="111"/>
      <c r="AC52" s="111"/>
      <c r="AD52" s="111"/>
      <c r="AE52" s="111"/>
      <c r="AF52" s="111"/>
      <c r="AG52" s="112"/>
      <c r="AH52" s="56"/>
    </row>
    <row r="53" spans="1:34" x14ac:dyDescent="0.3">
      <c r="A53" s="57"/>
      <c r="B53" s="194">
        <f>Data!CQ8</f>
        <v>0</v>
      </c>
      <c r="C53" s="111"/>
      <c r="D53" s="111"/>
      <c r="E53" s="111"/>
      <c r="F53" s="111"/>
      <c r="G53" s="111"/>
      <c r="H53" s="111"/>
      <c r="I53" s="111"/>
      <c r="J53" s="149">
        <f>Data!CS8</f>
        <v>0</v>
      </c>
      <c r="K53" s="149"/>
      <c r="L53" s="148">
        <f>Data!CT8</f>
        <v>0</v>
      </c>
      <c r="M53" s="148"/>
      <c r="N53" s="144">
        <f>Data!CU8</f>
        <v>0</v>
      </c>
      <c r="O53" s="144"/>
      <c r="P53" s="144"/>
      <c r="Q53" s="149">
        <f>Data!CV8</f>
        <v>0</v>
      </c>
      <c r="R53" s="149"/>
      <c r="S53" s="149"/>
      <c r="T53" s="100">
        <f>Data!CY8</f>
        <v>0</v>
      </c>
      <c r="U53" s="100"/>
      <c r="V53" s="100"/>
      <c r="W53" s="108">
        <f>Data!CW8</f>
        <v>0</v>
      </c>
      <c r="X53" s="108"/>
      <c r="Y53" s="108"/>
      <c r="Z53" s="110">
        <f>Data!DF8</f>
        <v>0</v>
      </c>
      <c r="AA53" s="111"/>
      <c r="AB53" s="111"/>
      <c r="AC53" s="111"/>
      <c r="AD53" s="111"/>
      <c r="AE53" s="111"/>
      <c r="AF53" s="111"/>
      <c r="AG53" s="112"/>
      <c r="AH53" s="56"/>
    </row>
    <row r="54" spans="1:34" ht="15" thickBot="1" x14ac:dyDescent="0.35">
      <c r="A54" s="57"/>
      <c r="B54" s="195">
        <f>Data!CQ9</f>
        <v>0</v>
      </c>
      <c r="C54" s="114"/>
      <c r="D54" s="114"/>
      <c r="E54" s="114"/>
      <c r="F54" s="114"/>
      <c r="G54" s="114"/>
      <c r="H54" s="114"/>
      <c r="I54" s="114"/>
      <c r="J54" s="109">
        <f>Data!CS9</f>
        <v>0</v>
      </c>
      <c r="K54" s="109"/>
      <c r="L54" s="196">
        <f>Data!CT9</f>
        <v>0</v>
      </c>
      <c r="M54" s="196"/>
      <c r="N54" s="187">
        <f>Data!CU9</f>
        <v>0</v>
      </c>
      <c r="O54" s="187"/>
      <c r="P54" s="187"/>
      <c r="Q54" s="109">
        <f>Data!CV9</f>
        <v>0</v>
      </c>
      <c r="R54" s="109"/>
      <c r="S54" s="109"/>
      <c r="T54" s="204">
        <f>Data!CY9</f>
        <v>0</v>
      </c>
      <c r="U54" s="204"/>
      <c r="V54" s="204"/>
      <c r="W54" s="116">
        <f>Data!CW9</f>
        <v>0</v>
      </c>
      <c r="X54" s="116"/>
      <c r="Y54" s="116"/>
      <c r="Z54" s="113">
        <f>Data!DF9</f>
        <v>0</v>
      </c>
      <c r="AA54" s="114"/>
      <c r="AB54" s="114"/>
      <c r="AC54" s="114"/>
      <c r="AD54" s="114"/>
      <c r="AE54" s="114"/>
      <c r="AF54" s="114"/>
      <c r="AG54" s="115"/>
      <c r="AH54" s="56"/>
    </row>
    <row r="55" spans="1:34" ht="16.2" thickBot="1" x14ac:dyDescent="0.35">
      <c r="A55" s="57"/>
      <c r="B55" s="101" t="s">
        <v>34</v>
      </c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3"/>
      <c r="AH55" s="56"/>
    </row>
    <row r="56" spans="1:34" x14ac:dyDescent="0.3">
      <c r="A56" s="57"/>
      <c r="B56" s="143" t="s">
        <v>94</v>
      </c>
      <c r="C56" s="143"/>
      <c r="D56" s="143"/>
      <c r="E56" s="143" t="s">
        <v>62</v>
      </c>
      <c r="F56" s="143"/>
      <c r="G56" s="143"/>
      <c r="H56" s="143" t="s">
        <v>63</v>
      </c>
      <c r="I56" s="143"/>
      <c r="J56" s="143"/>
      <c r="K56" s="143" t="s">
        <v>52</v>
      </c>
      <c r="L56" s="143"/>
      <c r="M56" s="143" t="s">
        <v>2</v>
      </c>
      <c r="N56" s="143"/>
      <c r="O56" s="143" t="s">
        <v>18</v>
      </c>
      <c r="P56" s="143"/>
      <c r="Q56" s="143"/>
      <c r="R56" s="201" t="s">
        <v>94</v>
      </c>
      <c r="S56" s="202"/>
      <c r="T56" s="203"/>
      <c r="U56" s="143" t="s">
        <v>62</v>
      </c>
      <c r="V56" s="143"/>
      <c r="W56" s="143"/>
      <c r="X56" s="143" t="s">
        <v>63</v>
      </c>
      <c r="Y56" s="143"/>
      <c r="Z56" s="143"/>
      <c r="AA56" s="143" t="s">
        <v>52</v>
      </c>
      <c r="AB56" s="143"/>
      <c r="AC56" s="143" t="s">
        <v>2</v>
      </c>
      <c r="AD56" s="143"/>
      <c r="AE56" s="143" t="s">
        <v>18</v>
      </c>
      <c r="AF56" s="143"/>
      <c r="AG56" s="143"/>
      <c r="AH56" s="56"/>
    </row>
    <row r="57" spans="1:34" x14ac:dyDescent="0.3">
      <c r="A57" s="57"/>
      <c r="B57" s="107" t="str">
        <f>Data!ER4</f>
        <v/>
      </c>
      <c r="C57" s="108"/>
      <c r="D57" s="108"/>
      <c r="E57" s="100" t="str">
        <f>Data!ES4</f>
        <v/>
      </c>
      <c r="F57" s="100"/>
      <c r="G57" s="100"/>
      <c r="H57" s="100" t="str">
        <f>Data!ET4</f>
        <v/>
      </c>
      <c r="I57" s="100"/>
      <c r="J57" s="100"/>
      <c r="K57" s="108" t="str">
        <f>Data!EU4</f>
        <v/>
      </c>
      <c r="L57" s="108"/>
      <c r="M57" s="108" t="str">
        <f>Data!EV4</f>
        <v/>
      </c>
      <c r="N57" s="108"/>
      <c r="O57" s="100" t="str">
        <f>Data!EW4</f>
        <v/>
      </c>
      <c r="P57" s="100"/>
      <c r="Q57" s="197"/>
      <c r="R57" s="107" t="str">
        <f>Data!ER8</f>
        <v/>
      </c>
      <c r="S57" s="108"/>
      <c r="T57" s="108"/>
      <c r="U57" s="100" t="str">
        <f>Data!ES8</f>
        <v/>
      </c>
      <c r="V57" s="100"/>
      <c r="W57" s="100"/>
      <c r="X57" s="100" t="str">
        <f>Data!ET8</f>
        <v/>
      </c>
      <c r="Y57" s="100"/>
      <c r="Z57" s="100"/>
      <c r="AA57" s="108" t="str">
        <f>Data!EU8</f>
        <v/>
      </c>
      <c r="AB57" s="108"/>
      <c r="AC57" s="108" t="str">
        <f>Data!EV8</f>
        <v/>
      </c>
      <c r="AD57" s="108"/>
      <c r="AE57" s="100" t="str">
        <f>Data!EW8</f>
        <v/>
      </c>
      <c r="AF57" s="100"/>
      <c r="AG57" s="200"/>
      <c r="AH57" s="56"/>
    </row>
    <row r="58" spans="1:34" x14ac:dyDescent="0.3">
      <c r="A58" s="57"/>
      <c r="B58" s="107" t="str">
        <f>Data!ER5</f>
        <v/>
      </c>
      <c r="C58" s="108"/>
      <c r="D58" s="108"/>
      <c r="E58" s="100" t="str">
        <f>Data!ES5</f>
        <v/>
      </c>
      <c r="F58" s="100"/>
      <c r="G58" s="100"/>
      <c r="H58" s="100" t="str">
        <f>Data!ET5</f>
        <v/>
      </c>
      <c r="I58" s="100"/>
      <c r="J58" s="100"/>
      <c r="K58" s="108" t="str">
        <f>Data!EU5</f>
        <v/>
      </c>
      <c r="L58" s="108"/>
      <c r="M58" s="108" t="str">
        <f>Data!EV5</f>
        <v/>
      </c>
      <c r="N58" s="108"/>
      <c r="O58" s="100" t="str">
        <f>Data!EW5</f>
        <v/>
      </c>
      <c r="P58" s="100"/>
      <c r="Q58" s="197"/>
      <c r="R58" s="107" t="str">
        <f>Data!ER9</f>
        <v/>
      </c>
      <c r="S58" s="108"/>
      <c r="T58" s="108"/>
      <c r="U58" s="100" t="str">
        <f>Data!ES9</f>
        <v/>
      </c>
      <c r="V58" s="100"/>
      <c r="W58" s="100"/>
      <c r="X58" s="100" t="str">
        <f>Data!ET9</f>
        <v/>
      </c>
      <c r="Y58" s="100"/>
      <c r="Z58" s="100"/>
      <c r="AA58" s="108" t="str">
        <f>Data!EU9</f>
        <v/>
      </c>
      <c r="AB58" s="108"/>
      <c r="AC58" s="108" t="str">
        <f>Data!EV9</f>
        <v/>
      </c>
      <c r="AD58" s="108"/>
      <c r="AE58" s="100" t="str">
        <f>Data!EW9</f>
        <v/>
      </c>
      <c r="AF58" s="100"/>
      <c r="AG58" s="200"/>
      <c r="AH58" s="56"/>
    </row>
    <row r="59" spans="1:34" x14ac:dyDescent="0.3">
      <c r="A59" s="57"/>
      <c r="B59" s="107" t="str">
        <f>Data!ER6</f>
        <v/>
      </c>
      <c r="C59" s="108"/>
      <c r="D59" s="108"/>
      <c r="E59" s="100" t="str">
        <f>Data!ES6</f>
        <v/>
      </c>
      <c r="F59" s="100"/>
      <c r="G59" s="100"/>
      <c r="H59" s="100" t="str">
        <f>Data!ET6</f>
        <v/>
      </c>
      <c r="I59" s="100"/>
      <c r="J59" s="100"/>
      <c r="K59" s="108" t="str">
        <f>Data!EU6</f>
        <v/>
      </c>
      <c r="L59" s="108"/>
      <c r="M59" s="108" t="str">
        <f>Data!EV6</f>
        <v/>
      </c>
      <c r="N59" s="108"/>
      <c r="O59" s="100" t="str">
        <f>Data!EW6</f>
        <v/>
      </c>
      <c r="P59" s="100"/>
      <c r="Q59" s="197"/>
      <c r="R59" s="107" t="str">
        <f>Data!ER10</f>
        <v/>
      </c>
      <c r="S59" s="108"/>
      <c r="T59" s="108"/>
      <c r="U59" s="100" t="str">
        <f>Data!ES10</f>
        <v/>
      </c>
      <c r="V59" s="100"/>
      <c r="W59" s="100"/>
      <c r="X59" s="100" t="str">
        <f>Data!ET10</f>
        <v/>
      </c>
      <c r="Y59" s="100"/>
      <c r="Z59" s="100"/>
      <c r="AA59" s="108" t="str">
        <f>Data!EU10</f>
        <v/>
      </c>
      <c r="AB59" s="108"/>
      <c r="AC59" s="108" t="str">
        <f>Data!EV10</f>
        <v/>
      </c>
      <c r="AD59" s="108"/>
      <c r="AE59" s="100" t="str">
        <f>Data!EW10</f>
        <v/>
      </c>
      <c r="AF59" s="100"/>
      <c r="AG59" s="200"/>
      <c r="AH59" s="56"/>
    </row>
    <row r="60" spans="1:34" ht="15" thickBot="1" x14ac:dyDescent="0.35">
      <c r="A60" s="57"/>
      <c r="B60" s="107" t="str">
        <f>Data!ER7</f>
        <v/>
      </c>
      <c r="C60" s="108"/>
      <c r="D60" s="108"/>
      <c r="E60" s="100" t="str">
        <f>Data!ES7</f>
        <v/>
      </c>
      <c r="F60" s="100"/>
      <c r="G60" s="100"/>
      <c r="H60" s="100" t="str">
        <f>Data!ET7</f>
        <v/>
      </c>
      <c r="I60" s="100"/>
      <c r="J60" s="100"/>
      <c r="K60" s="108" t="str">
        <f>Data!EU7</f>
        <v/>
      </c>
      <c r="L60" s="108"/>
      <c r="M60" s="108" t="str">
        <f>Data!EV7</f>
        <v/>
      </c>
      <c r="N60" s="108"/>
      <c r="O60" s="100" t="str">
        <f>Data!EW7</f>
        <v/>
      </c>
      <c r="P60" s="100"/>
      <c r="Q60" s="197"/>
      <c r="R60" s="107" t="str">
        <f>Data!ER11</f>
        <v/>
      </c>
      <c r="S60" s="108"/>
      <c r="T60" s="108"/>
      <c r="U60" s="100" t="str">
        <f>Data!ES11</f>
        <v/>
      </c>
      <c r="V60" s="100"/>
      <c r="W60" s="100"/>
      <c r="X60" s="100" t="str">
        <f>Data!ET11</f>
        <v/>
      </c>
      <c r="Y60" s="100"/>
      <c r="Z60" s="100"/>
      <c r="AA60" s="108" t="str">
        <f>Data!EU11</f>
        <v/>
      </c>
      <c r="AB60" s="108"/>
      <c r="AC60" s="108" t="str">
        <f>Data!EV11</f>
        <v/>
      </c>
      <c r="AD60" s="108"/>
      <c r="AE60" s="100" t="str">
        <f>Data!EW11</f>
        <v/>
      </c>
      <c r="AF60" s="100"/>
      <c r="AG60" s="200"/>
      <c r="AH60" s="56"/>
    </row>
    <row r="61" spans="1:34" ht="16.2" thickBot="1" x14ac:dyDescent="0.35">
      <c r="B61" s="101" t="s">
        <v>103</v>
      </c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3"/>
      <c r="AH61" s="56"/>
    </row>
    <row r="62" spans="1:34" x14ac:dyDescent="0.3">
      <c r="B62" s="201" t="s">
        <v>94</v>
      </c>
      <c r="C62" s="202"/>
      <c r="D62" s="203"/>
      <c r="E62" s="159" t="s">
        <v>104</v>
      </c>
      <c r="F62" s="159"/>
      <c r="G62" s="159"/>
      <c r="H62" s="159" t="s">
        <v>105</v>
      </c>
      <c r="I62" s="159"/>
      <c r="J62" s="159"/>
      <c r="K62" s="159"/>
      <c r="L62" s="159"/>
      <c r="M62" s="159" t="s">
        <v>106</v>
      </c>
      <c r="N62" s="159"/>
      <c r="O62" s="159"/>
      <c r="P62" s="159"/>
      <c r="Q62" s="159"/>
      <c r="R62" s="201" t="s">
        <v>94</v>
      </c>
      <c r="S62" s="202"/>
      <c r="T62" s="203"/>
      <c r="U62" s="159" t="s">
        <v>104</v>
      </c>
      <c r="V62" s="159"/>
      <c r="W62" s="159"/>
      <c r="X62" s="159" t="s">
        <v>105</v>
      </c>
      <c r="Y62" s="159"/>
      <c r="Z62" s="159"/>
      <c r="AA62" s="159"/>
      <c r="AB62" s="159"/>
      <c r="AC62" s="159" t="s">
        <v>106</v>
      </c>
      <c r="AD62" s="159"/>
      <c r="AE62" s="159"/>
      <c r="AF62" s="159"/>
      <c r="AG62" s="159"/>
      <c r="AH62" s="56"/>
    </row>
    <row r="63" spans="1:34" x14ac:dyDescent="0.3">
      <c r="B63" s="107">
        <f>Data!FM4</f>
        <v>0</v>
      </c>
      <c r="C63" s="108"/>
      <c r="D63" s="108"/>
      <c r="E63" s="100">
        <f>Data!FN4</f>
        <v>0</v>
      </c>
      <c r="F63" s="100"/>
      <c r="G63" s="100"/>
      <c r="H63" s="98" t="str">
        <f>Data!FO4</f>
        <v/>
      </c>
      <c r="I63" s="99"/>
      <c r="J63" s="99"/>
      <c r="K63" s="99"/>
      <c r="L63" s="99"/>
      <c r="M63" s="104" t="str">
        <f>Data!FP4</f>
        <v/>
      </c>
      <c r="N63" s="105"/>
      <c r="O63" s="105"/>
      <c r="P63" s="105"/>
      <c r="Q63" s="106"/>
      <c r="R63" s="107">
        <f>Data!FM8</f>
        <v>0</v>
      </c>
      <c r="S63" s="108"/>
      <c r="T63" s="108"/>
      <c r="U63" s="100">
        <f>Data!FN8</f>
        <v>0</v>
      </c>
      <c r="V63" s="100"/>
      <c r="W63" s="100"/>
      <c r="X63" s="98" t="str">
        <f>Data!FO8</f>
        <v/>
      </c>
      <c r="Y63" s="99"/>
      <c r="Z63" s="99"/>
      <c r="AA63" s="99"/>
      <c r="AB63" s="99"/>
      <c r="AC63" s="104" t="str">
        <f>Data!FP8</f>
        <v/>
      </c>
      <c r="AD63" s="105"/>
      <c r="AE63" s="105"/>
      <c r="AF63" s="105"/>
      <c r="AG63" s="106"/>
      <c r="AH63" s="56"/>
    </row>
    <row r="64" spans="1:34" x14ac:dyDescent="0.3">
      <c r="B64" s="107">
        <f>Data!FM5</f>
        <v>0</v>
      </c>
      <c r="C64" s="108"/>
      <c r="D64" s="108"/>
      <c r="E64" s="100">
        <f>Data!FN5</f>
        <v>0</v>
      </c>
      <c r="F64" s="100"/>
      <c r="G64" s="100"/>
      <c r="H64" s="98" t="str">
        <f>Data!FO5</f>
        <v/>
      </c>
      <c r="I64" s="99"/>
      <c r="J64" s="99"/>
      <c r="K64" s="99"/>
      <c r="L64" s="99"/>
      <c r="M64" s="104" t="str">
        <f>Data!FP5</f>
        <v/>
      </c>
      <c r="N64" s="105"/>
      <c r="O64" s="105"/>
      <c r="P64" s="105"/>
      <c r="Q64" s="106"/>
      <c r="R64" s="107">
        <f>Data!FM9</f>
        <v>0</v>
      </c>
      <c r="S64" s="108"/>
      <c r="T64" s="108"/>
      <c r="U64" s="100">
        <f>Data!FN9</f>
        <v>0</v>
      </c>
      <c r="V64" s="100"/>
      <c r="W64" s="100"/>
      <c r="X64" s="98" t="str">
        <f>Data!FO9</f>
        <v/>
      </c>
      <c r="Y64" s="99"/>
      <c r="Z64" s="99"/>
      <c r="AA64" s="99"/>
      <c r="AB64" s="99"/>
      <c r="AC64" s="104" t="str">
        <f>Data!FP9</f>
        <v/>
      </c>
      <c r="AD64" s="105"/>
      <c r="AE64" s="105"/>
      <c r="AF64" s="105"/>
      <c r="AG64" s="106"/>
      <c r="AH64" s="56"/>
    </row>
    <row r="65" spans="2:34" x14ac:dyDescent="0.3">
      <c r="B65" s="107">
        <f>Data!FM6</f>
        <v>0</v>
      </c>
      <c r="C65" s="108"/>
      <c r="D65" s="108"/>
      <c r="E65" s="100">
        <f>Data!FN6</f>
        <v>0</v>
      </c>
      <c r="F65" s="100"/>
      <c r="G65" s="100"/>
      <c r="H65" s="98" t="str">
        <f>Data!FO6</f>
        <v/>
      </c>
      <c r="I65" s="99"/>
      <c r="J65" s="99"/>
      <c r="K65" s="99"/>
      <c r="L65" s="99"/>
      <c r="M65" s="104" t="str">
        <f>Data!FP6</f>
        <v/>
      </c>
      <c r="N65" s="105"/>
      <c r="O65" s="105"/>
      <c r="P65" s="105"/>
      <c r="Q65" s="106"/>
      <c r="R65" s="107">
        <f>Data!FM10</f>
        <v>0</v>
      </c>
      <c r="S65" s="108"/>
      <c r="T65" s="108"/>
      <c r="U65" s="100">
        <f>Data!FN10</f>
        <v>0</v>
      </c>
      <c r="V65" s="100"/>
      <c r="W65" s="100"/>
      <c r="X65" s="98" t="str">
        <f>Data!FO10</f>
        <v/>
      </c>
      <c r="Y65" s="99"/>
      <c r="Z65" s="99"/>
      <c r="AA65" s="99"/>
      <c r="AB65" s="99"/>
      <c r="AC65" s="104" t="str">
        <f>Data!FP10</f>
        <v/>
      </c>
      <c r="AD65" s="105"/>
      <c r="AE65" s="105"/>
      <c r="AF65" s="105"/>
      <c r="AG65" s="106"/>
      <c r="AH65" s="56"/>
    </row>
    <row r="66" spans="2:34" ht="15" thickBot="1" x14ac:dyDescent="0.35">
      <c r="B66" s="107">
        <f>Data!FM7</f>
        <v>0</v>
      </c>
      <c r="C66" s="108"/>
      <c r="D66" s="108"/>
      <c r="E66" s="100">
        <f>Data!FN7</f>
        <v>0</v>
      </c>
      <c r="F66" s="100"/>
      <c r="G66" s="100"/>
      <c r="H66" s="98" t="str">
        <f>Data!FO7</f>
        <v/>
      </c>
      <c r="I66" s="99"/>
      <c r="J66" s="99"/>
      <c r="K66" s="99"/>
      <c r="L66" s="99"/>
      <c r="M66" s="104" t="str">
        <f>Data!FP7</f>
        <v/>
      </c>
      <c r="N66" s="105"/>
      <c r="O66" s="105"/>
      <c r="P66" s="105"/>
      <c r="Q66" s="106"/>
      <c r="R66" s="107">
        <f>Data!FM11</f>
        <v>0</v>
      </c>
      <c r="S66" s="108"/>
      <c r="T66" s="108"/>
      <c r="U66" s="100">
        <f>Data!FN11</f>
        <v>0</v>
      </c>
      <c r="V66" s="100"/>
      <c r="W66" s="100"/>
      <c r="X66" s="98" t="str">
        <f>Data!FO11</f>
        <v/>
      </c>
      <c r="Y66" s="99"/>
      <c r="Z66" s="99"/>
      <c r="AA66" s="99"/>
      <c r="AB66" s="99"/>
      <c r="AC66" s="104" t="str">
        <f>Data!FP11</f>
        <v/>
      </c>
      <c r="AD66" s="105"/>
      <c r="AE66" s="105"/>
      <c r="AF66" s="105"/>
      <c r="AG66" s="106"/>
      <c r="AH66" s="56"/>
    </row>
    <row r="67" spans="2:34" ht="15" thickBot="1" x14ac:dyDescent="0.35">
      <c r="B67" s="184" t="s">
        <v>164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6"/>
      <c r="AH67" s="54"/>
    </row>
    <row r="68" spans="2:34" ht="18" x14ac:dyDescent="0.35">
      <c r="B68" s="37"/>
      <c r="C68" s="38"/>
      <c r="D68" s="38"/>
      <c r="E68" s="38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31"/>
    </row>
    <row r="69" spans="2:34" ht="18" x14ac:dyDescent="0.35">
      <c r="B69" s="38"/>
      <c r="C69" s="38"/>
      <c r="D69" s="38"/>
      <c r="E69" s="38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31"/>
    </row>
    <row r="70" spans="2:34" ht="15.6" x14ac:dyDescent="0.3">
      <c r="B70" s="38"/>
      <c r="C70" s="38"/>
      <c r="D70" s="38"/>
      <c r="E70" s="38"/>
      <c r="F70" s="41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33"/>
    </row>
    <row r="71" spans="2:34" ht="15.6" x14ac:dyDescent="0.3">
      <c r="B71" s="38"/>
      <c r="C71" s="38"/>
      <c r="D71" s="38"/>
      <c r="E71" s="38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33"/>
    </row>
    <row r="72" spans="2:34" x14ac:dyDescent="0.3">
      <c r="B72" s="35"/>
      <c r="C72" s="43"/>
      <c r="D72" s="35"/>
      <c r="E72" s="43"/>
      <c r="F72" s="35"/>
      <c r="G72" s="35"/>
      <c r="H72" s="35"/>
      <c r="I72" s="38"/>
      <c r="J72" s="38"/>
      <c r="K72" s="38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spans="2:34" x14ac:dyDescent="0.3">
      <c r="B73" s="44"/>
      <c r="C73" s="44"/>
      <c r="D73" s="44"/>
      <c r="E73" s="44"/>
      <c r="F73" s="36"/>
      <c r="G73" s="36"/>
      <c r="H73" s="36"/>
      <c r="I73" s="36"/>
      <c r="J73" s="36"/>
      <c r="K73" s="36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 spans="2:34" x14ac:dyDescent="0.3">
      <c r="B74" s="44"/>
      <c r="C74" s="44"/>
      <c r="D74" s="44"/>
      <c r="E74" s="44"/>
      <c r="F74" s="36"/>
      <c r="G74" s="36"/>
      <c r="H74" s="36"/>
      <c r="I74" s="36"/>
      <c r="J74" s="36"/>
      <c r="K74" s="36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 spans="2:34" x14ac:dyDescent="0.3">
      <c r="B75" s="44"/>
      <c r="C75" s="44"/>
      <c r="D75" s="44"/>
      <c r="E75" s="44"/>
      <c r="F75" s="36"/>
      <c r="G75" s="36"/>
      <c r="H75" s="36"/>
      <c r="I75" s="36"/>
      <c r="J75" s="36"/>
      <c r="K75" s="36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 spans="2:34" x14ac:dyDescent="0.3">
      <c r="B76" s="44"/>
      <c r="C76" s="44"/>
      <c r="D76" s="44"/>
      <c r="E76" s="44"/>
      <c r="F76" s="36"/>
      <c r="G76" s="36"/>
      <c r="H76" s="36"/>
      <c r="I76" s="36"/>
      <c r="J76" s="36"/>
      <c r="K76" s="36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 spans="2:34" x14ac:dyDescent="0.3">
      <c r="B77" s="44"/>
      <c r="C77" s="44"/>
      <c r="D77" s="44"/>
      <c r="E77" s="44"/>
      <c r="F77" s="36"/>
      <c r="G77" s="36"/>
      <c r="H77" s="36"/>
      <c r="I77" s="36"/>
      <c r="J77" s="36"/>
      <c r="K77" s="36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 spans="2:34" x14ac:dyDescent="0.3">
      <c r="B78" s="44"/>
      <c r="C78" s="44"/>
      <c r="D78" s="44"/>
      <c r="E78" s="44"/>
      <c r="F78" s="36"/>
      <c r="G78" s="36"/>
      <c r="H78" s="36"/>
      <c r="I78" s="36"/>
      <c r="J78" s="36"/>
      <c r="K78" s="36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spans="2:34" x14ac:dyDescent="0.3">
      <c r="B79" s="44"/>
      <c r="C79" s="44"/>
      <c r="D79" s="44"/>
      <c r="E79" s="44"/>
      <c r="F79" s="36"/>
      <c r="G79" s="36"/>
      <c r="H79" s="36"/>
      <c r="I79" s="36"/>
      <c r="J79" s="36"/>
      <c r="K79" s="36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spans="2:34" x14ac:dyDescent="0.3">
      <c r="B80" s="44"/>
      <c r="C80" s="44"/>
      <c r="D80" s="44"/>
      <c r="E80" s="44"/>
      <c r="F80" s="36"/>
      <c r="G80" s="36"/>
      <c r="H80" s="36"/>
      <c r="I80" s="36"/>
      <c r="J80" s="36"/>
      <c r="K80" s="36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spans="2:33" x14ac:dyDescent="0.3">
      <c r="B81" s="44"/>
      <c r="C81" s="44"/>
      <c r="D81" s="44"/>
      <c r="E81" s="44"/>
      <c r="F81" s="36"/>
      <c r="G81" s="36"/>
      <c r="H81" s="36"/>
      <c r="I81" s="36"/>
      <c r="J81" s="36"/>
      <c r="K81" s="36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spans="2:33" x14ac:dyDescent="0.3">
      <c r="B82" s="44"/>
      <c r="C82" s="44"/>
      <c r="D82" s="44"/>
      <c r="E82" s="44"/>
      <c r="F82" s="36"/>
      <c r="G82" s="36"/>
      <c r="H82" s="36"/>
      <c r="I82" s="36"/>
      <c r="J82" s="36"/>
      <c r="K82" s="36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 spans="2:33" x14ac:dyDescent="0.3">
      <c r="B83" s="44"/>
      <c r="C83" s="44"/>
      <c r="D83" s="44"/>
      <c r="E83" s="44"/>
      <c r="F83" s="36"/>
      <c r="G83" s="36"/>
      <c r="H83" s="36"/>
      <c r="I83" s="36"/>
      <c r="J83" s="36"/>
      <c r="K83" s="36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 spans="2:33" x14ac:dyDescent="0.3">
      <c r="B84" s="44"/>
      <c r="C84" s="44"/>
      <c r="D84" s="44"/>
      <c r="E84" s="44"/>
      <c r="F84" s="36"/>
      <c r="G84" s="36"/>
      <c r="H84" s="36"/>
      <c r="I84" s="36"/>
      <c r="J84" s="36"/>
      <c r="K84" s="36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 spans="2:33" x14ac:dyDescent="0.3">
      <c r="B85" s="44"/>
      <c r="C85" s="44"/>
      <c r="D85" s="44"/>
      <c r="E85" s="44"/>
      <c r="F85" s="36"/>
      <c r="G85" s="36"/>
      <c r="H85" s="36"/>
      <c r="I85" s="36"/>
      <c r="J85" s="36"/>
      <c r="K85" s="36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 spans="2:33" x14ac:dyDescent="0.3">
      <c r="B86" s="44"/>
      <c r="C86" s="44"/>
      <c r="D86" s="44"/>
      <c r="E86" s="44"/>
      <c r="F86" s="36"/>
      <c r="G86" s="36"/>
      <c r="H86" s="36"/>
      <c r="I86" s="36"/>
      <c r="J86" s="36"/>
      <c r="K86" s="36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spans="2:33" x14ac:dyDescent="0.3">
      <c r="B87" s="44"/>
      <c r="C87" s="44"/>
      <c r="D87" s="44"/>
      <c r="E87" s="44"/>
      <c r="F87" s="36"/>
      <c r="G87" s="36"/>
      <c r="H87" s="36"/>
      <c r="I87" s="36"/>
      <c r="J87" s="36"/>
      <c r="K87" s="36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spans="2:33" x14ac:dyDescent="0.3">
      <c r="B88" s="44"/>
      <c r="C88" s="44"/>
      <c r="D88" s="44"/>
      <c r="E88" s="44"/>
      <c r="F88" s="36"/>
      <c r="G88" s="36"/>
      <c r="H88" s="36"/>
      <c r="I88" s="36"/>
      <c r="J88" s="36"/>
      <c r="K88" s="36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spans="2:33" x14ac:dyDescent="0.3">
      <c r="B89" s="44"/>
      <c r="C89" s="44"/>
      <c r="D89" s="44"/>
      <c r="E89" s="44"/>
      <c r="F89" s="36"/>
      <c r="G89" s="36"/>
      <c r="H89" s="36"/>
      <c r="I89" s="36"/>
      <c r="J89" s="36"/>
      <c r="K89" s="36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spans="2:33" x14ac:dyDescent="0.3">
      <c r="B90" s="44"/>
      <c r="C90" s="44"/>
      <c r="D90" s="44"/>
      <c r="E90" s="44"/>
      <c r="F90" s="36"/>
      <c r="G90" s="36"/>
      <c r="H90" s="36"/>
      <c r="I90" s="36"/>
      <c r="J90" s="36"/>
      <c r="K90" s="36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spans="2:33" x14ac:dyDescent="0.3">
      <c r="B91" s="44"/>
      <c r="C91" s="44"/>
      <c r="D91" s="44"/>
      <c r="E91" s="44"/>
      <c r="F91" s="36"/>
      <c r="G91" s="36"/>
      <c r="H91" s="36"/>
      <c r="I91" s="36"/>
      <c r="J91" s="36"/>
      <c r="K91" s="36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spans="2:33" x14ac:dyDescent="0.3">
      <c r="B92" s="44"/>
      <c r="C92" s="44"/>
      <c r="D92" s="44"/>
      <c r="E92" s="44"/>
      <c r="F92" s="36"/>
      <c r="G92" s="36"/>
      <c r="H92" s="36"/>
      <c r="I92" s="36"/>
      <c r="J92" s="36"/>
      <c r="K92" s="36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</row>
    <row r="93" spans="2:33" x14ac:dyDescent="0.3">
      <c r="B93" s="44"/>
      <c r="C93" s="44"/>
      <c r="D93" s="44"/>
      <c r="E93" s="44"/>
      <c r="F93" s="36"/>
      <c r="G93" s="36"/>
      <c r="H93" s="36"/>
      <c r="I93" s="36"/>
      <c r="J93" s="36"/>
      <c r="K93" s="36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spans="2:33" x14ac:dyDescent="0.3">
      <c r="B94" s="44"/>
      <c r="C94" s="44"/>
      <c r="D94" s="44"/>
      <c r="E94" s="44"/>
      <c r="F94" s="36"/>
      <c r="G94" s="36"/>
      <c r="H94" s="36"/>
      <c r="I94" s="36"/>
      <c r="J94" s="36"/>
      <c r="K94" s="36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spans="2:33" x14ac:dyDescent="0.3">
      <c r="B95" s="44"/>
      <c r="C95" s="44"/>
      <c r="D95" s="44"/>
      <c r="E95" s="44"/>
      <c r="F95" s="36"/>
      <c r="G95" s="36"/>
      <c r="H95" s="36"/>
      <c r="I95" s="36"/>
      <c r="J95" s="36"/>
      <c r="K95" s="36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 spans="2:33" x14ac:dyDescent="0.3">
      <c r="B96" s="44"/>
      <c r="C96" s="44"/>
      <c r="D96" s="44"/>
      <c r="E96" s="44"/>
      <c r="F96" s="36"/>
      <c r="G96" s="36"/>
      <c r="H96" s="36"/>
      <c r="I96" s="36"/>
      <c r="J96" s="36"/>
      <c r="K96" s="36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 spans="2:33" x14ac:dyDescent="0.3">
      <c r="B97" s="44"/>
      <c r="C97" s="44"/>
      <c r="D97" s="44"/>
      <c r="E97" s="44"/>
      <c r="F97" s="36"/>
      <c r="G97" s="36"/>
      <c r="H97" s="36"/>
      <c r="I97" s="36"/>
      <c r="J97" s="36"/>
      <c r="K97" s="36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spans="2:33" x14ac:dyDescent="0.3">
      <c r="B98" s="44"/>
      <c r="C98" s="44"/>
      <c r="D98" s="44"/>
      <c r="E98" s="44"/>
      <c r="F98" s="36"/>
      <c r="G98" s="36"/>
      <c r="H98" s="36"/>
      <c r="I98" s="36"/>
      <c r="J98" s="36"/>
      <c r="K98" s="36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2:33" x14ac:dyDescent="0.3">
      <c r="B99" s="44"/>
      <c r="C99" s="44"/>
      <c r="D99" s="44"/>
      <c r="E99" s="44"/>
      <c r="F99" s="36"/>
      <c r="G99" s="36"/>
      <c r="H99" s="36"/>
      <c r="I99" s="36"/>
      <c r="J99" s="36"/>
      <c r="K99" s="36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spans="2:33" x14ac:dyDescent="0.3">
      <c r="B100" s="44"/>
      <c r="C100" s="44"/>
      <c r="D100" s="44"/>
      <c r="E100" s="44"/>
      <c r="F100" s="36"/>
      <c r="G100" s="36"/>
      <c r="H100" s="36"/>
      <c r="I100" s="36"/>
      <c r="J100" s="36"/>
      <c r="K100" s="36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spans="2:33" x14ac:dyDescent="0.3">
      <c r="B101" s="44"/>
      <c r="C101" s="44"/>
      <c r="D101" s="44"/>
      <c r="E101" s="44"/>
      <c r="F101" s="36"/>
      <c r="G101" s="36"/>
      <c r="H101" s="36"/>
      <c r="I101" s="36"/>
      <c r="J101" s="36"/>
      <c r="K101" s="36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spans="2:33" x14ac:dyDescent="0.3">
      <c r="B102" s="44"/>
      <c r="C102" s="44"/>
      <c r="D102" s="44"/>
      <c r="E102" s="44"/>
      <c r="F102" s="36"/>
      <c r="G102" s="36"/>
      <c r="H102" s="36"/>
      <c r="I102" s="36"/>
      <c r="J102" s="36"/>
      <c r="K102" s="36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spans="2:33" x14ac:dyDescent="0.3">
      <c r="B103" s="44"/>
      <c r="C103" s="44"/>
      <c r="D103" s="44"/>
      <c r="E103" s="44"/>
      <c r="F103" s="36"/>
      <c r="G103" s="36"/>
      <c r="H103" s="36"/>
      <c r="I103" s="36"/>
      <c r="J103" s="36"/>
      <c r="K103" s="36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spans="2:33" x14ac:dyDescent="0.3">
      <c r="B104" s="44"/>
      <c r="C104" s="44"/>
      <c r="D104" s="44"/>
      <c r="E104" s="44"/>
      <c r="F104" s="36"/>
      <c r="G104" s="36"/>
      <c r="H104" s="36"/>
      <c r="I104" s="36"/>
      <c r="J104" s="36"/>
      <c r="K104" s="36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spans="2:33" x14ac:dyDescent="0.3">
      <c r="B105" s="44"/>
      <c r="C105" s="44"/>
      <c r="D105" s="44"/>
      <c r="E105" s="44"/>
      <c r="F105" s="36"/>
      <c r="G105" s="36"/>
      <c r="H105" s="36"/>
      <c r="I105" s="36"/>
      <c r="J105" s="36"/>
      <c r="K105" s="36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spans="2:33" x14ac:dyDescent="0.3">
      <c r="B106" s="44"/>
      <c r="C106" s="44"/>
      <c r="D106" s="44"/>
      <c r="E106" s="44"/>
      <c r="F106" s="36"/>
      <c r="G106" s="36"/>
      <c r="H106" s="36"/>
      <c r="I106" s="36"/>
      <c r="J106" s="36"/>
      <c r="K106" s="36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spans="2:33" x14ac:dyDescent="0.3">
      <c r="B107" s="44"/>
      <c r="C107" s="44"/>
      <c r="D107" s="44"/>
      <c r="E107" s="44"/>
      <c r="F107" s="36"/>
      <c r="G107" s="36"/>
      <c r="H107" s="36"/>
      <c r="I107" s="36"/>
      <c r="J107" s="36"/>
      <c r="K107" s="36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spans="2:33" x14ac:dyDescent="0.3">
      <c r="B108" s="44"/>
      <c r="C108" s="44"/>
      <c r="D108" s="44"/>
      <c r="E108" s="44"/>
      <c r="F108" s="36"/>
      <c r="G108" s="36"/>
      <c r="H108" s="36"/>
      <c r="I108" s="36"/>
      <c r="J108" s="36"/>
      <c r="K108" s="36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spans="2:33" x14ac:dyDescent="0.3">
      <c r="B109" s="44"/>
      <c r="C109" s="44"/>
      <c r="D109" s="44"/>
      <c r="E109" s="44"/>
      <c r="F109" s="36"/>
      <c r="G109" s="36"/>
      <c r="H109" s="36"/>
      <c r="I109" s="36"/>
      <c r="J109" s="36"/>
      <c r="K109" s="36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spans="2:33" x14ac:dyDescent="0.3">
      <c r="B110" s="44"/>
      <c r="C110" s="44"/>
      <c r="D110" s="44"/>
      <c r="E110" s="44"/>
      <c r="F110" s="36"/>
      <c r="G110" s="36"/>
      <c r="H110" s="36"/>
      <c r="I110" s="36"/>
      <c r="J110" s="36"/>
      <c r="K110" s="36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spans="2:33" x14ac:dyDescent="0.3">
      <c r="B111" s="44"/>
      <c r="C111" s="44"/>
      <c r="D111" s="44"/>
      <c r="E111" s="44"/>
      <c r="F111" s="36"/>
      <c r="G111" s="36"/>
      <c r="H111" s="36"/>
      <c r="I111" s="36"/>
      <c r="J111" s="36"/>
      <c r="K111" s="36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spans="2:33" x14ac:dyDescent="0.3">
      <c r="B112" s="44"/>
      <c r="C112" s="44"/>
      <c r="D112" s="44"/>
      <c r="E112" s="44"/>
      <c r="F112" s="36"/>
      <c r="G112" s="36"/>
      <c r="H112" s="36"/>
      <c r="I112" s="36"/>
      <c r="J112" s="36"/>
      <c r="K112" s="36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spans="2:33" x14ac:dyDescent="0.3">
      <c r="B113" s="44"/>
      <c r="C113" s="44"/>
      <c r="D113" s="44"/>
      <c r="E113" s="44"/>
      <c r="F113" s="36"/>
      <c r="G113" s="36"/>
      <c r="H113" s="36"/>
      <c r="I113" s="36"/>
      <c r="J113" s="36"/>
      <c r="K113" s="36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spans="2:33" x14ac:dyDescent="0.3">
      <c r="B114" s="44"/>
      <c r="C114" s="44"/>
      <c r="D114" s="44"/>
      <c r="E114" s="44"/>
      <c r="F114" s="36"/>
      <c r="G114" s="36"/>
      <c r="H114" s="36"/>
      <c r="I114" s="36"/>
      <c r="J114" s="36"/>
      <c r="K114" s="36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spans="2:33" x14ac:dyDescent="0.3">
      <c r="B115" s="44"/>
      <c r="C115" s="44"/>
      <c r="D115" s="44"/>
      <c r="E115" s="44"/>
      <c r="F115" s="36"/>
      <c r="G115" s="36"/>
      <c r="H115" s="36"/>
      <c r="I115" s="36"/>
      <c r="J115" s="36"/>
      <c r="K115" s="36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spans="2:33" x14ac:dyDescent="0.3">
      <c r="B116" s="44"/>
      <c r="C116" s="44"/>
      <c r="D116" s="44"/>
      <c r="E116" s="44"/>
      <c r="F116" s="36"/>
      <c r="G116" s="36"/>
      <c r="H116" s="36"/>
      <c r="I116" s="36"/>
      <c r="J116" s="36"/>
      <c r="K116" s="36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spans="2:33" x14ac:dyDescent="0.3">
      <c r="B117" s="44"/>
      <c r="C117" s="44"/>
      <c r="D117" s="44"/>
      <c r="E117" s="44"/>
      <c r="F117" s="36"/>
      <c r="G117" s="36"/>
      <c r="H117" s="36"/>
      <c r="I117" s="36"/>
      <c r="J117" s="36"/>
      <c r="K117" s="36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</row>
    <row r="118" spans="2:33" x14ac:dyDescent="0.3">
      <c r="B118" s="44"/>
      <c r="C118" s="44"/>
      <c r="D118" s="44"/>
      <c r="E118" s="44"/>
      <c r="F118" s="36"/>
      <c r="G118" s="36"/>
      <c r="H118" s="36"/>
      <c r="I118" s="36"/>
      <c r="J118" s="36"/>
      <c r="K118" s="36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</row>
    <row r="119" spans="2:33" x14ac:dyDescent="0.3">
      <c r="B119" s="44"/>
      <c r="C119" s="44"/>
      <c r="D119" s="44"/>
      <c r="E119" s="44"/>
      <c r="F119" s="36"/>
      <c r="G119" s="36"/>
      <c r="H119" s="36"/>
      <c r="I119" s="36"/>
      <c r="J119" s="36"/>
      <c r="K119" s="36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</row>
    <row r="120" spans="2:33" x14ac:dyDescent="0.3">
      <c r="B120" s="44"/>
      <c r="C120" s="44"/>
      <c r="D120" s="44"/>
      <c r="E120" s="44"/>
      <c r="F120" s="36"/>
      <c r="G120" s="36"/>
      <c r="H120" s="36"/>
      <c r="I120" s="36"/>
      <c r="J120" s="36"/>
      <c r="K120" s="36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 spans="2:33" x14ac:dyDescent="0.3">
      <c r="B121" s="44"/>
      <c r="C121" s="44"/>
      <c r="D121" s="44"/>
      <c r="E121" s="44"/>
      <c r="F121" s="36"/>
      <c r="G121" s="36"/>
      <c r="H121" s="36"/>
      <c r="I121" s="36"/>
      <c r="J121" s="36"/>
      <c r="K121" s="36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 spans="2:33" x14ac:dyDescent="0.3">
      <c r="B122" s="44"/>
      <c r="C122" s="44"/>
      <c r="D122" s="44"/>
      <c r="E122" s="44"/>
      <c r="F122" s="36"/>
      <c r="G122" s="36"/>
      <c r="H122" s="36"/>
      <c r="I122" s="36"/>
      <c r="J122" s="36"/>
      <c r="K122" s="36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 spans="2:33" x14ac:dyDescent="0.3">
      <c r="B123" s="44"/>
      <c r="C123" s="44"/>
      <c r="D123" s="44"/>
      <c r="E123" s="44"/>
      <c r="F123" s="36"/>
      <c r="G123" s="36"/>
      <c r="H123" s="36"/>
      <c r="I123" s="36"/>
      <c r="J123" s="36"/>
      <c r="K123" s="36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</row>
    <row r="124" spans="2:33" x14ac:dyDescent="0.3">
      <c r="B124" s="44"/>
      <c r="C124" s="44"/>
      <c r="D124" s="44"/>
      <c r="E124" s="44"/>
      <c r="F124" s="36"/>
      <c r="G124" s="36"/>
      <c r="H124" s="36"/>
      <c r="I124" s="36"/>
      <c r="J124" s="36"/>
      <c r="K124" s="36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</row>
    <row r="125" spans="2:33" x14ac:dyDescent="0.3">
      <c r="B125" s="44"/>
      <c r="C125" s="44"/>
      <c r="D125" s="44"/>
      <c r="E125" s="44"/>
      <c r="F125" s="36"/>
      <c r="G125" s="36"/>
      <c r="H125" s="36"/>
      <c r="I125" s="36"/>
      <c r="J125" s="36"/>
      <c r="K125" s="36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</row>
    <row r="126" spans="2:33" x14ac:dyDescent="0.3">
      <c r="B126" s="44"/>
      <c r="C126" s="44"/>
      <c r="D126" s="44"/>
      <c r="E126" s="44"/>
      <c r="F126" s="36"/>
      <c r="G126" s="36"/>
      <c r="H126" s="36"/>
      <c r="I126" s="36"/>
      <c r="J126" s="36"/>
      <c r="K126" s="36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</row>
    <row r="127" spans="2:33" x14ac:dyDescent="0.3">
      <c r="B127" s="44"/>
      <c r="C127" s="44"/>
      <c r="D127" s="44"/>
      <c r="E127" s="44"/>
      <c r="F127" s="36"/>
      <c r="G127" s="36"/>
      <c r="H127" s="36"/>
      <c r="I127" s="36"/>
      <c r="J127" s="36"/>
      <c r="K127" s="36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</row>
    <row r="128" spans="2:33" x14ac:dyDescent="0.3">
      <c r="B128" s="44"/>
      <c r="C128" s="44"/>
      <c r="D128" s="44"/>
      <c r="E128" s="44"/>
      <c r="F128" s="36"/>
      <c r="G128" s="36"/>
      <c r="H128" s="36"/>
      <c r="I128" s="36"/>
      <c r="J128" s="36"/>
      <c r="K128" s="36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</row>
    <row r="129" spans="2:34" x14ac:dyDescent="0.3">
      <c r="B129" s="44"/>
      <c r="C129" s="44"/>
      <c r="D129" s="44"/>
      <c r="E129" s="44"/>
      <c r="F129" s="36"/>
      <c r="G129" s="36"/>
      <c r="H129" s="36"/>
      <c r="I129" s="36"/>
      <c r="J129" s="36"/>
      <c r="K129" s="36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</row>
    <row r="130" spans="2:34" x14ac:dyDescent="0.3">
      <c r="B130" s="44"/>
      <c r="C130" s="44"/>
      <c r="D130" s="44"/>
      <c r="E130" s="44"/>
      <c r="F130" s="36"/>
      <c r="G130" s="36"/>
      <c r="H130" s="36"/>
      <c r="I130" s="36"/>
      <c r="J130" s="36"/>
      <c r="K130" s="36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 spans="2:34" x14ac:dyDescent="0.3">
      <c r="B131" s="44"/>
      <c r="C131" s="44"/>
      <c r="D131" s="44"/>
      <c r="E131" s="44"/>
      <c r="F131" s="36"/>
      <c r="G131" s="36"/>
      <c r="H131" s="36"/>
      <c r="I131" s="36"/>
      <c r="J131" s="36"/>
      <c r="K131" s="36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</row>
    <row r="132" spans="2:34" x14ac:dyDescent="0.3">
      <c r="B132" s="44"/>
      <c r="C132" s="44"/>
      <c r="D132" s="44"/>
      <c r="E132" s="44"/>
      <c r="F132" s="36"/>
      <c r="G132" s="36"/>
      <c r="H132" s="36"/>
      <c r="I132" s="36"/>
      <c r="J132" s="36"/>
      <c r="K132" s="36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 spans="2:34" x14ac:dyDescent="0.3">
      <c r="B133" s="44"/>
      <c r="C133" s="44"/>
      <c r="D133" s="44"/>
      <c r="E133" s="44"/>
      <c r="F133" s="36"/>
      <c r="G133" s="36"/>
      <c r="H133" s="36"/>
      <c r="I133" s="36"/>
      <c r="J133" s="36"/>
      <c r="K133" s="36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</row>
    <row r="134" spans="2:34" x14ac:dyDescent="0.3">
      <c r="B134" s="44"/>
      <c r="C134" s="44"/>
      <c r="D134" s="44"/>
      <c r="E134" s="44"/>
      <c r="F134" s="36"/>
      <c r="G134" s="36"/>
      <c r="H134" s="36"/>
      <c r="I134" s="36"/>
      <c r="J134" s="36"/>
      <c r="K134" s="36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 spans="2:34" x14ac:dyDescent="0.3">
      <c r="B135" s="44"/>
      <c r="C135" s="44"/>
      <c r="D135" s="44"/>
      <c r="E135" s="44"/>
      <c r="F135" s="36"/>
      <c r="G135" s="36"/>
      <c r="H135" s="36"/>
      <c r="I135" s="36"/>
      <c r="J135" s="36"/>
      <c r="K135" s="36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 spans="2:34" x14ac:dyDescent="0.3">
      <c r="B136" s="44"/>
      <c r="C136" s="44"/>
      <c r="D136" s="44"/>
      <c r="E136" s="44"/>
      <c r="F136" s="36"/>
      <c r="G136" s="36"/>
      <c r="H136" s="36"/>
      <c r="I136" s="36"/>
      <c r="J136" s="36"/>
      <c r="K136" s="36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 spans="2:34" x14ac:dyDescent="0.3">
      <c r="B137" s="44"/>
      <c r="C137" s="44"/>
      <c r="D137" s="44"/>
      <c r="E137" s="44"/>
      <c r="F137" s="36"/>
      <c r="G137" s="36"/>
      <c r="H137" s="36"/>
      <c r="I137" s="36"/>
      <c r="J137" s="36"/>
      <c r="K137" s="36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</row>
    <row r="138" spans="2:34" x14ac:dyDescent="0.3">
      <c r="B138" s="44"/>
      <c r="C138" s="44"/>
      <c r="D138" s="44"/>
      <c r="E138" s="44"/>
      <c r="F138" s="36"/>
      <c r="G138" s="36"/>
      <c r="H138" s="36"/>
      <c r="I138" s="36"/>
      <c r="J138" s="36"/>
      <c r="K138" s="36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</row>
    <row r="139" spans="2:34" x14ac:dyDescent="0.3">
      <c r="B139" s="44"/>
      <c r="C139" s="44"/>
      <c r="D139" s="44"/>
      <c r="E139" s="44"/>
      <c r="F139" s="36"/>
      <c r="G139" s="36"/>
      <c r="H139" s="36"/>
      <c r="I139" s="36"/>
      <c r="J139" s="36"/>
      <c r="K139" s="36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</row>
    <row r="140" spans="2:34" x14ac:dyDescent="0.3">
      <c r="B140" s="44"/>
      <c r="C140" s="44"/>
      <c r="D140" s="44"/>
      <c r="E140" s="44"/>
      <c r="F140" s="36"/>
      <c r="G140" s="36"/>
      <c r="H140" s="36"/>
      <c r="I140" s="36"/>
      <c r="J140" s="36"/>
      <c r="K140" s="36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</row>
    <row r="141" spans="2:34" x14ac:dyDescent="0.3">
      <c r="B141" s="44"/>
      <c r="C141" s="44"/>
      <c r="D141" s="44"/>
      <c r="E141" s="44"/>
      <c r="F141" s="36"/>
      <c r="G141" s="36"/>
      <c r="H141" s="36"/>
      <c r="I141" s="36"/>
      <c r="J141" s="36"/>
      <c r="K141" s="36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 spans="2:34" x14ac:dyDescent="0.3">
      <c r="B142" s="35"/>
      <c r="C142" s="35"/>
      <c r="D142" s="35"/>
      <c r="E142" s="35"/>
      <c r="F142" s="45"/>
      <c r="G142" s="45"/>
      <c r="H142" s="36"/>
      <c r="I142" s="36"/>
      <c r="J142" s="36"/>
      <c r="K142" s="36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</row>
    <row r="143" spans="2:34" x14ac:dyDescent="0.3">
      <c r="B143" s="35"/>
      <c r="C143" s="35"/>
      <c r="D143" s="35"/>
      <c r="E143" s="35"/>
      <c r="F143" s="45"/>
      <c r="G143" s="45"/>
      <c r="H143" s="36"/>
      <c r="I143" s="36"/>
      <c r="J143" s="36"/>
      <c r="K143" s="36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 spans="2:34" x14ac:dyDescent="0.3">
      <c r="B144" s="36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36"/>
    </row>
    <row r="145" spans="2:33" x14ac:dyDescent="0.3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</row>
    <row r="146" spans="2:33" x14ac:dyDescent="0.3"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</row>
    <row r="147" spans="2:33" x14ac:dyDescent="0.3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</row>
    <row r="148" spans="2:33" x14ac:dyDescent="0.3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</row>
    <row r="149" spans="2:33" x14ac:dyDescent="0.3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</row>
    <row r="150" spans="2:33" x14ac:dyDescent="0.3"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</row>
    <row r="151" spans="2:33" x14ac:dyDescent="0.3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</row>
    <row r="152" spans="2:33" x14ac:dyDescent="0.3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</row>
    <row r="153" spans="2:33" x14ac:dyDescent="0.3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</row>
    <row r="154" spans="2:33" x14ac:dyDescent="0.3"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</row>
    <row r="155" spans="2:33" x14ac:dyDescent="0.3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</row>
    <row r="156" spans="2:33" x14ac:dyDescent="0.3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</row>
    <row r="157" spans="2:33" x14ac:dyDescent="0.3"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</row>
    <row r="158" spans="2:33" x14ac:dyDescent="0.3"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</row>
    <row r="159" spans="2:33" x14ac:dyDescent="0.3"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</row>
    <row r="160" spans="2:33" x14ac:dyDescent="0.3"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</row>
    <row r="161" spans="2:33" x14ac:dyDescent="0.3"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</row>
    <row r="162" spans="2:33" x14ac:dyDescent="0.3"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</row>
    <row r="163" spans="2:33" x14ac:dyDescent="0.3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</row>
    <row r="164" spans="2:33" x14ac:dyDescent="0.3"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</row>
    <row r="165" spans="2:33" x14ac:dyDescent="0.3"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</row>
    <row r="166" spans="2:33" x14ac:dyDescent="0.3"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</row>
    <row r="167" spans="2:33" x14ac:dyDescent="0.3"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</row>
    <row r="168" spans="2:33" x14ac:dyDescent="0.3"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</row>
    <row r="169" spans="2:33" x14ac:dyDescent="0.3"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</row>
    <row r="170" spans="2:33" x14ac:dyDescent="0.3"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</row>
    <row r="171" spans="2:33" x14ac:dyDescent="0.3"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</row>
    <row r="172" spans="2:33" x14ac:dyDescent="0.3"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</row>
    <row r="173" spans="2:33" x14ac:dyDescent="0.3"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</row>
    <row r="174" spans="2:33" x14ac:dyDescent="0.3"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</row>
    <row r="175" spans="2:33" x14ac:dyDescent="0.3"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</row>
    <row r="176" spans="2:33" x14ac:dyDescent="0.3"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</row>
    <row r="177" spans="2:33" x14ac:dyDescent="0.3"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</row>
    <row r="178" spans="2:33" x14ac:dyDescent="0.3"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</row>
    <row r="179" spans="2:33" x14ac:dyDescent="0.3"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</row>
    <row r="180" spans="2:33" x14ac:dyDescent="0.3"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</row>
    <row r="181" spans="2:33" x14ac:dyDescent="0.3"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</row>
    <row r="182" spans="2:33" x14ac:dyDescent="0.3"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</row>
    <row r="183" spans="2:33" x14ac:dyDescent="0.3"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</row>
    <row r="184" spans="2:33" x14ac:dyDescent="0.3"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</row>
    <row r="185" spans="2:33" x14ac:dyDescent="0.3"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</row>
    <row r="186" spans="2:33" x14ac:dyDescent="0.3"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</row>
    <row r="187" spans="2:33" x14ac:dyDescent="0.3"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</row>
    <row r="188" spans="2:33" x14ac:dyDescent="0.3"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</row>
    <row r="189" spans="2:33" x14ac:dyDescent="0.3"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</row>
    <row r="190" spans="2:33" x14ac:dyDescent="0.3"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</row>
    <row r="191" spans="2:33" x14ac:dyDescent="0.3"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</row>
    <row r="192" spans="2:33" x14ac:dyDescent="0.3"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</row>
    <row r="193" spans="2:33" x14ac:dyDescent="0.3"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</row>
    <row r="194" spans="2:33" x14ac:dyDescent="0.3"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</row>
    <row r="195" spans="2:33" x14ac:dyDescent="0.3"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</row>
    <row r="196" spans="2:33" x14ac:dyDescent="0.3"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</row>
    <row r="197" spans="2:33" x14ac:dyDescent="0.3"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</row>
    <row r="198" spans="2:33" x14ac:dyDescent="0.3"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</row>
    <row r="199" spans="2:33" x14ac:dyDescent="0.3"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</row>
    <row r="200" spans="2:33" x14ac:dyDescent="0.3"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</row>
    <row r="201" spans="2:33" x14ac:dyDescent="0.3"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</row>
    <row r="202" spans="2:33" x14ac:dyDescent="0.3"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</row>
    <row r="203" spans="2:33" x14ac:dyDescent="0.3"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</row>
    <row r="204" spans="2:33" x14ac:dyDescent="0.3"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</row>
    <row r="205" spans="2:33" x14ac:dyDescent="0.3"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</row>
    <row r="206" spans="2:33" x14ac:dyDescent="0.3"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</row>
    <row r="207" spans="2:33" x14ac:dyDescent="0.3"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</row>
    <row r="208" spans="2:33" x14ac:dyDescent="0.3"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</row>
    <row r="209" spans="2:33" x14ac:dyDescent="0.3"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</row>
    <row r="210" spans="2:33" x14ac:dyDescent="0.3"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</row>
    <row r="211" spans="2:33" x14ac:dyDescent="0.3"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</row>
    <row r="212" spans="2:33" x14ac:dyDescent="0.3"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</row>
    <row r="213" spans="2:33" x14ac:dyDescent="0.3"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</row>
    <row r="214" spans="2:33" x14ac:dyDescent="0.3"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</row>
    <row r="215" spans="2:33" x14ac:dyDescent="0.3"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</row>
    <row r="216" spans="2:33" x14ac:dyDescent="0.3"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</row>
    <row r="217" spans="2:33" x14ac:dyDescent="0.3"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</row>
    <row r="218" spans="2:33" x14ac:dyDescent="0.3"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</row>
    <row r="219" spans="2:33" x14ac:dyDescent="0.3"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</row>
    <row r="220" spans="2:33" x14ac:dyDescent="0.3"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</row>
    <row r="221" spans="2:33" x14ac:dyDescent="0.3"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</row>
    <row r="222" spans="2:33" x14ac:dyDescent="0.3"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</row>
    <row r="223" spans="2:33" x14ac:dyDescent="0.3"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</row>
    <row r="224" spans="2:33" x14ac:dyDescent="0.3"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</row>
    <row r="225" spans="2:33" x14ac:dyDescent="0.3"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</row>
    <row r="226" spans="2:33" x14ac:dyDescent="0.3"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</row>
    <row r="227" spans="2:33" x14ac:dyDescent="0.3"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</row>
    <row r="228" spans="2:33" x14ac:dyDescent="0.3"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</row>
    <row r="229" spans="2:33" x14ac:dyDescent="0.3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</row>
    <row r="230" spans="2:33" x14ac:dyDescent="0.3"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</row>
    <row r="231" spans="2:33" x14ac:dyDescent="0.3"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</row>
    <row r="232" spans="2:33" x14ac:dyDescent="0.3"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</row>
    <row r="233" spans="2:33" x14ac:dyDescent="0.3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</row>
    <row r="234" spans="2:33" x14ac:dyDescent="0.3"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</row>
    <row r="235" spans="2:33" x14ac:dyDescent="0.3"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</row>
    <row r="236" spans="2:33" x14ac:dyDescent="0.3"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</row>
    <row r="237" spans="2:33" x14ac:dyDescent="0.3"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</row>
    <row r="238" spans="2:33" x14ac:dyDescent="0.3"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</row>
    <row r="239" spans="2:33" x14ac:dyDescent="0.3"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</row>
    <row r="240" spans="2:33" x14ac:dyDescent="0.3"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</row>
    <row r="241" spans="2:33" x14ac:dyDescent="0.3"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</row>
  </sheetData>
  <mergeCells count="393">
    <mergeCell ref="B11:E11"/>
    <mergeCell ref="B12:E12"/>
    <mergeCell ref="F11:AG11"/>
    <mergeCell ref="F12:AG12"/>
    <mergeCell ref="B14:F14"/>
    <mergeCell ref="G14:K14"/>
    <mergeCell ref="L14:P14"/>
    <mergeCell ref="Q14:U14"/>
    <mergeCell ref="V14:Z14"/>
    <mergeCell ref="AA14:AE14"/>
    <mergeCell ref="B60:D60"/>
    <mergeCell ref="T5:AG5"/>
    <mergeCell ref="T6:AG6"/>
    <mergeCell ref="O9:P9"/>
    <mergeCell ref="J9:K9"/>
    <mergeCell ref="B66:D66"/>
    <mergeCell ref="E66:G66"/>
    <mergeCell ref="B65:D65"/>
    <mergeCell ref="E65:G65"/>
    <mergeCell ref="M63:Q63"/>
    <mergeCell ref="M64:Q64"/>
    <mergeCell ref="M65:Q65"/>
    <mergeCell ref="M66:Q66"/>
    <mergeCell ref="AE59:AG59"/>
    <mergeCell ref="AE60:AG60"/>
    <mergeCell ref="AC62:AG62"/>
    <mergeCell ref="H62:L62"/>
    <mergeCell ref="Q8:S8"/>
    <mergeCell ref="Q9:S9"/>
    <mergeCell ref="F5:O5"/>
    <mergeCell ref="F6:O6"/>
    <mergeCell ref="F7:O7"/>
    <mergeCell ref="F8:O8"/>
    <mergeCell ref="G9:I9"/>
    <mergeCell ref="T54:V54"/>
    <mergeCell ref="W53:Y53"/>
    <mergeCell ref="B56:D56"/>
    <mergeCell ref="B64:D64"/>
    <mergeCell ref="E64:G64"/>
    <mergeCell ref="B63:D63"/>
    <mergeCell ref="E63:G63"/>
    <mergeCell ref="U58:W58"/>
    <mergeCell ref="B61:AG61"/>
    <mergeCell ref="B62:D62"/>
    <mergeCell ref="E62:G62"/>
    <mergeCell ref="R59:T59"/>
    <mergeCell ref="M62:Q62"/>
    <mergeCell ref="R62:T62"/>
    <mergeCell ref="U62:W62"/>
    <mergeCell ref="X62:AB62"/>
    <mergeCell ref="E60:G60"/>
    <mergeCell ref="H60:J60"/>
    <mergeCell ref="AA58:AB58"/>
    <mergeCell ref="R60:T60"/>
    <mergeCell ref="O60:Q60"/>
    <mergeCell ref="B59:D59"/>
    <mergeCell ref="E59:G59"/>
    <mergeCell ref="H59:J59"/>
    <mergeCell ref="M60:N60"/>
    <mergeCell ref="K58:L58"/>
    <mergeCell ref="R58:T58"/>
    <mergeCell ref="U60:W60"/>
    <mergeCell ref="AC59:AD59"/>
    <mergeCell ref="AC60:AD60"/>
    <mergeCell ref="X60:Z60"/>
    <mergeCell ref="AA60:AB60"/>
    <mergeCell ref="AA59:AB59"/>
    <mergeCell ref="X59:Z59"/>
    <mergeCell ref="U59:W59"/>
    <mergeCell ref="K60:L60"/>
    <mergeCell ref="X58:Z58"/>
    <mergeCell ref="K59:L59"/>
    <mergeCell ref="M59:N59"/>
    <mergeCell ref="O59:Q59"/>
    <mergeCell ref="B13:AG13"/>
    <mergeCell ref="M57:N57"/>
    <mergeCell ref="O57:Q57"/>
    <mergeCell ref="J52:K52"/>
    <mergeCell ref="T53:V53"/>
    <mergeCell ref="U41:X41"/>
    <mergeCell ref="P41:T41"/>
    <mergeCell ref="B44:AG44"/>
    <mergeCell ref="K41:O41"/>
    <mergeCell ref="P40:T40"/>
    <mergeCell ref="AC41:AG41"/>
    <mergeCell ref="B40:E40"/>
    <mergeCell ref="D31:E31"/>
    <mergeCell ref="B20:C20"/>
    <mergeCell ref="L51:M51"/>
    <mergeCell ref="AC57:AD57"/>
    <mergeCell ref="AE57:AG57"/>
    <mergeCell ref="R57:T57"/>
    <mergeCell ref="U57:W57"/>
    <mergeCell ref="L53:M53"/>
    <mergeCell ref="Q53:S53"/>
    <mergeCell ref="K56:L56"/>
    <mergeCell ref="B57:D57"/>
    <mergeCell ref="E57:G57"/>
    <mergeCell ref="AC58:AD58"/>
    <mergeCell ref="AE58:AG58"/>
    <mergeCell ref="M56:N56"/>
    <mergeCell ref="O56:Q56"/>
    <mergeCell ref="R56:T56"/>
    <mergeCell ref="X56:Z56"/>
    <mergeCell ref="AA56:AB56"/>
    <mergeCell ref="AC56:AD56"/>
    <mergeCell ref="AE56:AG56"/>
    <mergeCell ref="AA57:AB57"/>
    <mergeCell ref="U56:W56"/>
    <mergeCell ref="X57:Z57"/>
    <mergeCell ref="O58:Q58"/>
    <mergeCell ref="B42:E42"/>
    <mergeCell ref="B43:E43"/>
    <mergeCell ref="B39:E39"/>
    <mergeCell ref="L48:M48"/>
    <mergeCell ref="B45:H45"/>
    <mergeCell ref="B34:E34"/>
    <mergeCell ref="F31:G31"/>
    <mergeCell ref="F23:G23"/>
    <mergeCell ref="F32:G32"/>
    <mergeCell ref="F33:G33"/>
    <mergeCell ref="F30:G30"/>
    <mergeCell ref="K40:O40"/>
    <mergeCell ref="B36:G36"/>
    <mergeCell ref="B58:D58"/>
    <mergeCell ref="E58:G58"/>
    <mergeCell ref="H58:J58"/>
    <mergeCell ref="H56:J56"/>
    <mergeCell ref="E56:G56"/>
    <mergeCell ref="J54:K54"/>
    <mergeCell ref="N52:P52"/>
    <mergeCell ref="B51:I51"/>
    <mergeCell ref="L54:M54"/>
    <mergeCell ref="D17:E17"/>
    <mergeCell ref="B17:C17"/>
    <mergeCell ref="D29:E29"/>
    <mergeCell ref="D26:E26"/>
    <mergeCell ref="D21:E21"/>
    <mergeCell ref="D28:E28"/>
    <mergeCell ref="B25:C25"/>
    <mergeCell ref="D25:E25"/>
    <mergeCell ref="B26:C26"/>
    <mergeCell ref="B18:C18"/>
    <mergeCell ref="B19:C19"/>
    <mergeCell ref="B21:C21"/>
    <mergeCell ref="B23:C23"/>
    <mergeCell ref="D20:E20"/>
    <mergeCell ref="B67:AG67"/>
    <mergeCell ref="F34:G34"/>
    <mergeCell ref="B48:I48"/>
    <mergeCell ref="B32:C32"/>
    <mergeCell ref="D32:E32"/>
    <mergeCell ref="H34:AG34"/>
    <mergeCell ref="Q52:S52"/>
    <mergeCell ref="D33:E33"/>
    <mergeCell ref="B33:C33"/>
    <mergeCell ref="U46:Y46"/>
    <mergeCell ref="AC46:AG46"/>
    <mergeCell ref="B46:H46"/>
    <mergeCell ref="B53:I53"/>
    <mergeCell ref="I46:O46"/>
    <mergeCell ref="J51:K51"/>
    <mergeCell ref="N53:P53"/>
    <mergeCell ref="B54:I54"/>
    <mergeCell ref="B52:I52"/>
    <mergeCell ref="L52:M52"/>
    <mergeCell ref="N50:P50"/>
    <mergeCell ref="N49:P49"/>
    <mergeCell ref="N54:P54"/>
    <mergeCell ref="B49:I49"/>
    <mergeCell ref="J53:K53"/>
    <mergeCell ref="D19:E19"/>
    <mergeCell ref="D27:E27"/>
    <mergeCell ref="D23:E23"/>
    <mergeCell ref="H22:K22"/>
    <mergeCell ref="H23:K23"/>
    <mergeCell ref="H24:K24"/>
    <mergeCell ref="H25:K25"/>
    <mergeCell ref="H26:K26"/>
    <mergeCell ref="H27:K27"/>
    <mergeCell ref="W51:Y51"/>
    <mergeCell ref="Q49:S49"/>
    <mergeCell ref="J49:K49"/>
    <mergeCell ref="L49:M49"/>
    <mergeCell ref="J50:K50"/>
    <mergeCell ref="Y39:AB39"/>
    <mergeCell ref="Q51:S51"/>
    <mergeCell ref="N51:P51"/>
    <mergeCell ref="B35:AG35"/>
    <mergeCell ref="Y41:AB41"/>
    <mergeCell ref="B47:AG47"/>
    <mergeCell ref="J48:K48"/>
    <mergeCell ref="Z51:AG51"/>
    <mergeCell ref="T50:V50"/>
    <mergeCell ref="U39:X39"/>
    <mergeCell ref="U40:X40"/>
    <mergeCell ref="P36:T36"/>
    <mergeCell ref="P37:T37"/>
    <mergeCell ref="H36:O36"/>
    <mergeCell ref="H37:O37"/>
    <mergeCell ref="AC39:AG39"/>
    <mergeCell ref="P46:T46"/>
    <mergeCell ref="N48:P48"/>
    <mergeCell ref="B50:I50"/>
    <mergeCell ref="U36:AG36"/>
    <mergeCell ref="F39:J39"/>
    <mergeCell ref="F40:J40"/>
    <mergeCell ref="Y40:AB40"/>
    <mergeCell ref="B38:AG38"/>
    <mergeCell ref="H28:K28"/>
    <mergeCell ref="P33:S33"/>
    <mergeCell ref="P25:S25"/>
    <mergeCell ref="P26:S26"/>
    <mergeCell ref="L29:O29"/>
    <mergeCell ref="L30:O30"/>
    <mergeCell ref="L31:O31"/>
    <mergeCell ref="P27:S27"/>
    <mergeCell ref="P28:S28"/>
    <mergeCell ref="P29:S29"/>
    <mergeCell ref="Z48:AG48"/>
    <mergeCell ref="Q48:S48"/>
    <mergeCell ref="P39:T39"/>
    <mergeCell ref="B37:G37"/>
    <mergeCell ref="F41:J41"/>
    <mergeCell ref="Y42:AB42"/>
    <mergeCell ref="Y43:AB43"/>
    <mergeCell ref="K39:O39"/>
    <mergeCell ref="AC42:AG42"/>
    <mergeCell ref="AC43:AG43"/>
    <mergeCell ref="F42:J42"/>
    <mergeCell ref="F43:J43"/>
    <mergeCell ref="K42:O42"/>
    <mergeCell ref="K43:O43"/>
    <mergeCell ref="P42:T42"/>
    <mergeCell ref="AC40:AG40"/>
    <mergeCell ref="D16:E16"/>
    <mergeCell ref="P30:S30"/>
    <mergeCell ref="P31:S31"/>
    <mergeCell ref="P32:S32"/>
    <mergeCell ref="F25:G25"/>
    <mergeCell ref="D18:E18"/>
    <mergeCell ref="F18:G18"/>
    <mergeCell ref="F19:G19"/>
    <mergeCell ref="B31:C31"/>
    <mergeCell ref="D24:E24"/>
    <mergeCell ref="F17:G17"/>
    <mergeCell ref="F16:G16"/>
    <mergeCell ref="F20:G20"/>
    <mergeCell ref="B16:C16"/>
    <mergeCell ref="P16:S16"/>
    <mergeCell ref="F28:G28"/>
    <mergeCell ref="P17:S17"/>
    <mergeCell ref="L32:O32"/>
    <mergeCell ref="L16:O16"/>
    <mergeCell ref="L18:O18"/>
    <mergeCell ref="L19:O19"/>
    <mergeCell ref="L20:O20"/>
    <mergeCell ref="H19:K19"/>
    <mergeCell ref="H20:K20"/>
    <mergeCell ref="B41:E41"/>
    <mergeCell ref="H21:K21"/>
    <mergeCell ref="H29:K29"/>
    <mergeCell ref="H30:K30"/>
    <mergeCell ref="H31:K31"/>
    <mergeCell ref="H32:K32"/>
    <mergeCell ref="B24:C24"/>
    <mergeCell ref="B28:C28"/>
    <mergeCell ref="B27:C27"/>
    <mergeCell ref="F21:G21"/>
    <mergeCell ref="F26:G26"/>
    <mergeCell ref="F22:G22"/>
    <mergeCell ref="B29:C29"/>
    <mergeCell ref="B22:C22"/>
    <mergeCell ref="H33:K33"/>
    <mergeCell ref="D22:E22"/>
    <mergeCell ref="B30:C30"/>
    <mergeCell ref="F29:G29"/>
    <mergeCell ref="U37:AG37"/>
    <mergeCell ref="D30:E30"/>
    <mergeCell ref="G10:I10"/>
    <mergeCell ref="L17:O17"/>
    <mergeCell ref="H16:K16"/>
    <mergeCell ref="H17:K17"/>
    <mergeCell ref="L21:O21"/>
    <mergeCell ref="L22:O22"/>
    <mergeCell ref="L23:O23"/>
    <mergeCell ref="L24:O24"/>
    <mergeCell ref="L25:O25"/>
    <mergeCell ref="L26:O26"/>
    <mergeCell ref="J10:K10"/>
    <mergeCell ref="H18:K18"/>
    <mergeCell ref="P24:S24"/>
    <mergeCell ref="T30:AG30"/>
    <mergeCell ref="P19:S19"/>
    <mergeCell ref="P20:S20"/>
    <mergeCell ref="P21:S21"/>
    <mergeCell ref="P22:S22"/>
    <mergeCell ref="P23:S23"/>
    <mergeCell ref="B15:AG15"/>
    <mergeCell ref="F24:G24"/>
    <mergeCell ref="F27:G27"/>
    <mergeCell ref="L27:O27"/>
    <mergeCell ref="L28:O28"/>
    <mergeCell ref="T27:AG27"/>
    <mergeCell ref="T28:AG28"/>
    <mergeCell ref="T29:AG29"/>
    <mergeCell ref="Z49:AG49"/>
    <mergeCell ref="Z50:AG50"/>
    <mergeCell ref="T49:V49"/>
    <mergeCell ref="I45:AG45"/>
    <mergeCell ref="L50:M50"/>
    <mergeCell ref="W50:Y50"/>
    <mergeCell ref="W49:Y49"/>
    <mergeCell ref="Q50:S50"/>
    <mergeCell ref="W48:Y48"/>
    <mergeCell ref="T31:AG31"/>
    <mergeCell ref="T32:AG32"/>
    <mergeCell ref="T33:AG33"/>
    <mergeCell ref="T24:AG24"/>
    <mergeCell ref="T25:AG25"/>
    <mergeCell ref="T26:AG26"/>
    <mergeCell ref="L33:O33"/>
    <mergeCell ref="Z46:AB46"/>
    <mergeCell ref="O10:P10"/>
    <mergeCell ref="L10:N10"/>
    <mergeCell ref="B1:Z3"/>
    <mergeCell ref="T7:AG7"/>
    <mergeCell ref="T8:AG8"/>
    <mergeCell ref="T9:AG9"/>
    <mergeCell ref="B4:AG4"/>
    <mergeCell ref="AB2:AC2"/>
    <mergeCell ref="AD1:AG1"/>
    <mergeCell ref="B5:E5"/>
    <mergeCell ref="B6:E6"/>
    <mergeCell ref="B7:E7"/>
    <mergeCell ref="B8:E8"/>
    <mergeCell ref="B10:E10"/>
    <mergeCell ref="Q10:S10"/>
    <mergeCell ref="T10:AG10"/>
    <mergeCell ref="AD2:AG2"/>
    <mergeCell ref="B9:E9"/>
    <mergeCell ref="Q5:S5"/>
    <mergeCell ref="Q6:S6"/>
    <mergeCell ref="Q7:S7"/>
    <mergeCell ref="L9:N9"/>
    <mergeCell ref="Q54:S54"/>
    <mergeCell ref="Z52:AG52"/>
    <mergeCell ref="Z53:AG53"/>
    <mergeCell ref="W52:Y52"/>
    <mergeCell ref="Z54:AG54"/>
    <mergeCell ref="W54:Y54"/>
    <mergeCell ref="AA1:AC1"/>
    <mergeCell ref="AA3:AC3"/>
    <mergeCell ref="AD3:AG3"/>
    <mergeCell ref="P18:S18"/>
    <mergeCell ref="P43:T43"/>
    <mergeCell ref="U42:X42"/>
    <mergeCell ref="U43:X43"/>
    <mergeCell ref="T48:V48"/>
    <mergeCell ref="T51:V51"/>
    <mergeCell ref="T52:V52"/>
    <mergeCell ref="T16:AG16"/>
    <mergeCell ref="T17:AG17"/>
    <mergeCell ref="T18:AG18"/>
    <mergeCell ref="T19:AG19"/>
    <mergeCell ref="T20:AG20"/>
    <mergeCell ref="T21:AG21"/>
    <mergeCell ref="T22:AG22"/>
    <mergeCell ref="T23:AG23"/>
    <mergeCell ref="H63:L63"/>
    <mergeCell ref="H64:L64"/>
    <mergeCell ref="H65:L65"/>
    <mergeCell ref="U63:W63"/>
    <mergeCell ref="B55:AG55"/>
    <mergeCell ref="H66:L66"/>
    <mergeCell ref="X63:AB63"/>
    <mergeCell ref="AC63:AG63"/>
    <mergeCell ref="R64:T64"/>
    <mergeCell ref="U64:W64"/>
    <mergeCell ref="X64:AB64"/>
    <mergeCell ref="AC64:AG64"/>
    <mergeCell ref="R65:T65"/>
    <mergeCell ref="U65:W65"/>
    <mergeCell ref="X65:AB65"/>
    <mergeCell ref="AC65:AG65"/>
    <mergeCell ref="R66:T66"/>
    <mergeCell ref="U66:W66"/>
    <mergeCell ref="X66:AB66"/>
    <mergeCell ref="AC66:AG66"/>
    <mergeCell ref="R63:T63"/>
    <mergeCell ref="H57:J57"/>
    <mergeCell ref="K57:L57"/>
    <mergeCell ref="M58:N58"/>
  </mergeCells>
  <printOptions horizontalCentered="1"/>
  <pageMargins left="0.25" right="0.25" top="0.25" bottom="0.25" header="0.5" footer="0.25"/>
  <pageSetup paperSize="5" scale="8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P200"/>
  <sheetViews>
    <sheetView showZeros="0" topLeftCell="X1" zoomScaleNormal="100" workbookViewId="0">
      <pane ySplit="3" topLeftCell="A4" activePane="bottomLeft" state="frozen"/>
      <selection pane="bottomLeft" activeCell="AE8" sqref="AE8"/>
    </sheetView>
  </sheetViews>
  <sheetFormatPr defaultColWidth="15.77734375" defaultRowHeight="13.2" x14ac:dyDescent="0.25"/>
  <cols>
    <col min="1" max="6" width="1.77734375" style="9" customWidth="1"/>
    <col min="7" max="10" width="15.77734375" style="6" customWidth="1"/>
    <col min="11" max="16" width="1.77734375" style="9" customWidth="1"/>
    <col min="17" max="20" width="15.77734375" style="6" customWidth="1"/>
    <col min="21" max="21" width="14.5546875" style="9" customWidth="1"/>
    <col min="22" max="27" width="1.77734375" style="9" customWidth="1"/>
    <col min="28" max="28" width="15.77734375" style="10" customWidth="1"/>
    <col min="29" max="32" width="15.77734375" style="6" customWidth="1"/>
    <col min="33" max="33" width="28" style="6" bestFit="1" customWidth="1"/>
    <col min="34" max="34" width="19" style="6" bestFit="1" customWidth="1"/>
    <col min="35" max="35" width="22.5546875" style="6" bestFit="1" customWidth="1"/>
    <col min="36" max="37" width="15.77734375" style="6" customWidth="1"/>
    <col min="38" max="43" width="1.77734375" style="9" customWidth="1"/>
    <col min="44" max="47" width="15.77734375" style="6" customWidth="1"/>
    <col min="48" max="48" width="29.109375" style="6" customWidth="1"/>
    <col min="49" max="53" width="1.77734375" style="9" customWidth="1"/>
    <col min="54" max="54" width="9.88671875" style="9" customWidth="1"/>
    <col min="55" max="56" width="15.77734375" style="6" customWidth="1"/>
    <col min="57" max="57" width="15.77734375" style="9" customWidth="1"/>
    <col min="58" max="62" width="15.77734375" style="6" customWidth="1"/>
    <col min="63" max="63" width="15.77734375" style="9" customWidth="1"/>
    <col min="64" max="66" width="15.77734375" style="6" customWidth="1"/>
    <col min="67" max="72" width="1.77734375" style="9" customWidth="1"/>
    <col min="73" max="74" width="15.77734375" style="10" customWidth="1"/>
    <col min="75" max="78" width="2.77734375" style="9" customWidth="1"/>
    <col min="79" max="80" width="1.77734375" style="9" customWidth="1"/>
    <col min="81" max="87" width="15.77734375" style="6" customWidth="1"/>
    <col min="88" max="88" width="19.5546875" style="6" customWidth="1"/>
    <col min="89" max="94" width="1.77734375" style="9" customWidth="1"/>
    <col min="95" max="95" width="11.21875" style="9" bestFit="1" customWidth="1"/>
    <col min="96" max="96" width="9" style="9" bestFit="1" customWidth="1"/>
    <col min="97" max="97" width="14.5546875" style="9" bestFit="1" customWidth="1"/>
    <col min="98" max="98" width="15" style="9" bestFit="1" customWidth="1"/>
    <col min="99" max="99" width="12.44140625" style="9" customWidth="1"/>
    <col min="100" max="100" width="6.88671875" style="9" bestFit="1" customWidth="1"/>
    <col min="101" max="102" width="10.77734375" style="9" bestFit="1" customWidth="1"/>
    <col min="103" max="103" width="6.88671875" style="9" bestFit="1" customWidth="1"/>
    <col min="104" max="104" width="6.5546875" style="9" bestFit="1" customWidth="1"/>
    <col min="105" max="105" width="6" style="9" bestFit="1" customWidth="1"/>
    <col min="106" max="106" width="10.44140625" style="9" bestFit="1" customWidth="1"/>
    <col min="107" max="107" width="11.109375" style="9" bestFit="1" customWidth="1"/>
    <col min="108" max="108" width="11.77734375" style="9" bestFit="1" customWidth="1"/>
    <col min="109" max="109" width="14.77734375" style="9" bestFit="1" customWidth="1"/>
    <col min="110" max="110" width="8.44140625" style="9" bestFit="1" customWidth="1"/>
    <col min="111" max="116" width="1.77734375" style="9" customWidth="1"/>
    <col min="117" max="118" width="15.77734375" style="12" customWidth="1"/>
    <col min="119" max="120" width="15.77734375" style="6" customWidth="1"/>
    <col min="121" max="121" width="10.109375" style="9" customWidth="1"/>
    <col min="122" max="122" width="8" style="9" customWidth="1"/>
    <col min="123" max="123" width="8.88671875" style="9" customWidth="1"/>
    <col min="124" max="124" width="1.77734375" style="9" customWidth="1"/>
    <col min="125" max="125" width="17.5546875" style="9" bestFit="1" customWidth="1"/>
    <col min="126" max="126" width="10.77734375" style="9" customWidth="1"/>
    <col min="127" max="127" width="15.77734375" style="7" customWidth="1"/>
    <col min="128" max="128" width="16.21875" style="7" bestFit="1" customWidth="1"/>
    <col min="129" max="129" width="8.5546875" style="7" customWidth="1"/>
    <col min="130" max="130" width="7.5546875" style="7" customWidth="1"/>
    <col min="131" max="131" width="7.88671875" style="7" customWidth="1"/>
    <col min="132" max="132" width="11.21875" style="7" customWidth="1"/>
    <col min="133" max="133" width="11.88671875" style="7" customWidth="1"/>
    <col min="134" max="134" width="14.88671875" style="7" bestFit="1" customWidth="1"/>
    <col min="135" max="135" width="14" style="7" customWidth="1"/>
    <col min="136" max="136" width="28.77734375" style="7" bestFit="1" customWidth="1"/>
    <col min="137" max="141" width="15.77734375" style="9"/>
    <col min="142" max="142" width="14.21875" style="93" bestFit="1" customWidth="1"/>
    <col min="143" max="146" width="1.77734375" style="9" customWidth="1"/>
    <col min="147" max="147" width="8.5546875" style="9" bestFit="1" customWidth="1"/>
    <col min="148" max="153" width="15.77734375" style="9"/>
    <col min="154" max="158" width="2.77734375" style="9" customWidth="1"/>
    <col min="159" max="159" width="13.44140625" style="9" customWidth="1"/>
    <col min="160" max="16384" width="15.77734375" style="9"/>
  </cols>
  <sheetData>
    <row r="1" spans="1:172" s="4" customFormat="1" x14ac:dyDescent="0.25">
      <c r="A1" s="61"/>
      <c r="G1" s="218" t="s">
        <v>39</v>
      </c>
      <c r="H1" s="218"/>
      <c r="I1" s="218"/>
      <c r="J1" s="218"/>
      <c r="Q1" s="218" t="s">
        <v>61</v>
      </c>
      <c r="R1" s="218"/>
      <c r="S1" s="218"/>
      <c r="T1" s="218"/>
      <c r="AB1" s="218" t="s">
        <v>88</v>
      </c>
      <c r="AC1" s="218"/>
      <c r="AD1" s="218"/>
      <c r="AE1" s="218"/>
      <c r="AF1" s="218"/>
      <c r="AG1" s="218"/>
      <c r="AH1" s="218"/>
      <c r="AI1" s="218"/>
      <c r="AJ1" s="218"/>
      <c r="AK1" s="218"/>
      <c r="AR1" s="218" t="s">
        <v>80</v>
      </c>
      <c r="AS1" s="218"/>
      <c r="AT1" s="218"/>
      <c r="AU1" s="218"/>
      <c r="AV1" s="218"/>
      <c r="AW1" s="28"/>
      <c r="AX1" s="28"/>
      <c r="BC1" s="220" t="s">
        <v>0</v>
      </c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U1" s="221" t="s">
        <v>54</v>
      </c>
      <c r="BV1" s="221"/>
      <c r="CA1" s="16"/>
      <c r="CB1" s="16"/>
      <c r="CC1" s="219" t="s">
        <v>27</v>
      </c>
      <c r="CD1" s="219"/>
      <c r="CE1" s="219"/>
      <c r="CF1" s="219"/>
      <c r="CG1" s="219"/>
      <c r="CH1" s="219"/>
      <c r="CI1" s="219"/>
      <c r="CJ1" s="219"/>
      <c r="CQ1" s="222" t="s">
        <v>72</v>
      </c>
      <c r="CR1" s="222"/>
      <c r="CS1" s="222"/>
      <c r="CT1" s="222"/>
      <c r="CU1" s="222"/>
      <c r="CV1" s="222"/>
      <c r="CW1" s="222"/>
      <c r="CX1" s="222"/>
      <c r="CY1" s="222"/>
      <c r="CZ1" s="222"/>
      <c r="DA1" s="222"/>
      <c r="DB1" s="222"/>
      <c r="DC1" s="222"/>
      <c r="DD1" s="222"/>
      <c r="DE1" s="222"/>
      <c r="DF1" s="222"/>
      <c r="DH1" s="23"/>
      <c r="DM1" s="220" t="s">
        <v>65</v>
      </c>
      <c r="DN1" s="220"/>
      <c r="DO1" s="220"/>
      <c r="DP1" s="220"/>
      <c r="DU1" s="4" t="s">
        <v>131</v>
      </c>
      <c r="DW1" s="87"/>
      <c r="DX1" s="5" t="s">
        <v>132</v>
      </c>
      <c r="DY1" s="5"/>
      <c r="DZ1" s="5"/>
      <c r="EA1" s="5"/>
      <c r="EB1" s="5"/>
      <c r="EC1" s="5"/>
      <c r="ED1" s="5"/>
      <c r="EE1" s="220" t="s">
        <v>34</v>
      </c>
      <c r="EF1" s="220"/>
      <c r="EG1" s="220"/>
      <c r="EH1" s="220"/>
      <c r="EI1" s="220"/>
      <c r="EJ1" s="220"/>
      <c r="EK1" s="220"/>
      <c r="EL1" s="91"/>
      <c r="FA1" s="76"/>
      <c r="FD1" s="4" t="s">
        <v>107</v>
      </c>
      <c r="FH1" s="76"/>
    </row>
    <row r="2" spans="1:172" s="4" customFormat="1" x14ac:dyDescent="0.25">
      <c r="A2" s="62"/>
      <c r="G2" s="7" t="s">
        <v>24</v>
      </c>
      <c r="H2" s="7" t="s">
        <v>57</v>
      </c>
      <c r="I2" s="7" t="s">
        <v>29</v>
      </c>
      <c r="J2" s="7" t="s">
        <v>145</v>
      </c>
      <c r="K2" s="9"/>
      <c r="L2" s="9"/>
      <c r="M2" s="9"/>
      <c r="N2" s="9"/>
      <c r="O2" s="9"/>
      <c r="P2" s="9"/>
      <c r="Q2" s="7" t="s">
        <v>36</v>
      </c>
      <c r="R2" s="7" t="s">
        <v>26</v>
      </c>
      <c r="S2" s="9" t="s">
        <v>67</v>
      </c>
      <c r="T2" s="9" t="s">
        <v>68</v>
      </c>
      <c r="U2" s="9" t="s">
        <v>159</v>
      </c>
      <c r="AB2" s="8" t="s">
        <v>58</v>
      </c>
      <c r="AC2" s="9" t="s">
        <v>47</v>
      </c>
      <c r="AD2" s="9" t="s">
        <v>20</v>
      </c>
      <c r="AE2" s="9" t="s">
        <v>50</v>
      </c>
      <c r="AF2" s="9" t="s">
        <v>25</v>
      </c>
      <c r="AG2" s="9" t="s">
        <v>37</v>
      </c>
      <c r="AH2" s="9" t="s">
        <v>10</v>
      </c>
      <c r="AI2" s="9" t="s">
        <v>8</v>
      </c>
      <c r="AJ2" s="9" t="s">
        <v>5</v>
      </c>
      <c r="AK2" s="9" t="s">
        <v>12</v>
      </c>
      <c r="AR2" s="9" t="s">
        <v>60</v>
      </c>
      <c r="AS2" s="9" t="s">
        <v>11</v>
      </c>
      <c r="AT2" s="9" t="s">
        <v>1</v>
      </c>
      <c r="AU2" s="9" t="s">
        <v>78</v>
      </c>
      <c r="AV2" s="9" t="s">
        <v>79</v>
      </c>
      <c r="AW2" s="9"/>
      <c r="AX2" s="9"/>
      <c r="AY2" s="9"/>
      <c r="AZ2" s="9"/>
      <c r="BA2" s="9"/>
      <c r="BC2" s="223" t="s">
        <v>4</v>
      </c>
      <c r="BD2" s="223"/>
      <c r="BE2" s="223"/>
      <c r="BF2" s="223"/>
      <c r="BG2" s="223"/>
      <c r="BH2" s="223"/>
      <c r="BI2" s="75"/>
      <c r="BJ2" s="75"/>
      <c r="BK2" s="75"/>
      <c r="BL2" s="75"/>
      <c r="BM2" s="75"/>
      <c r="BN2" s="75"/>
      <c r="BU2" s="14" t="s">
        <v>46</v>
      </c>
      <c r="BV2" s="14" t="s">
        <v>33</v>
      </c>
      <c r="CC2" s="7" t="s">
        <v>60</v>
      </c>
      <c r="CD2" s="9" t="s">
        <v>6</v>
      </c>
      <c r="CE2" s="9" t="s">
        <v>16</v>
      </c>
      <c r="CF2" s="9" t="s">
        <v>11</v>
      </c>
      <c r="CG2" s="9" t="s">
        <v>14</v>
      </c>
      <c r="CH2" s="9" t="s">
        <v>38</v>
      </c>
      <c r="CI2" s="9" t="s">
        <v>3</v>
      </c>
      <c r="CJ2" s="9" t="s">
        <v>15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29" t="s">
        <v>66</v>
      </c>
      <c r="DH2"/>
      <c r="DM2" s="15" t="s">
        <v>82</v>
      </c>
      <c r="DN2" s="15" t="s">
        <v>83</v>
      </c>
      <c r="DO2" s="9" t="s">
        <v>81</v>
      </c>
      <c r="DP2" s="9" t="s">
        <v>43</v>
      </c>
      <c r="DQ2" s="9" t="s">
        <v>125</v>
      </c>
      <c r="DR2" s="9" t="s">
        <v>126</v>
      </c>
      <c r="DS2" s="9" t="s">
        <v>127</v>
      </c>
      <c r="DW2" s="88"/>
      <c r="DX2" s="7"/>
      <c r="DY2" s="5"/>
      <c r="DZ2" s="5"/>
      <c r="EA2" s="5"/>
      <c r="EB2" s="5"/>
      <c r="EC2" s="5"/>
      <c r="EE2" s="77">
        <f>MAX(EE4:EE200)</f>
        <v>0</v>
      </c>
      <c r="EF2" s="9" t="s">
        <v>94</v>
      </c>
      <c r="EG2" s="9" t="s">
        <v>49</v>
      </c>
      <c r="EH2" s="9" t="s">
        <v>17</v>
      </c>
      <c r="EI2" s="9" t="s">
        <v>139</v>
      </c>
      <c r="EJ2" s="9" t="s">
        <v>2</v>
      </c>
      <c r="EK2" s="9" t="s">
        <v>18</v>
      </c>
      <c r="EL2" s="93" t="s">
        <v>138</v>
      </c>
      <c r="FA2" s="76"/>
      <c r="FC2" s="9" t="s">
        <v>116</v>
      </c>
      <c r="FD2" s="4" t="s">
        <v>109</v>
      </c>
      <c r="FE2" s="4" t="s">
        <v>110</v>
      </c>
      <c r="FF2" s="4" t="s">
        <v>111</v>
      </c>
      <c r="FG2" s="4" t="s">
        <v>112</v>
      </c>
      <c r="FH2" s="76"/>
      <c r="FI2" s="4" t="s">
        <v>113</v>
      </c>
      <c r="FJ2" s="4" t="s">
        <v>114</v>
      </c>
    </row>
    <row r="3" spans="1:172" s="24" customFormat="1" x14ac:dyDescent="0.25">
      <c r="A3" s="63"/>
      <c r="AV3" s="25"/>
      <c r="BB3" s="25" t="s">
        <v>60</v>
      </c>
      <c r="BC3" s="25" t="s">
        <v>40</v>
      </c>
      <c r="BD3" s="25" t="s">
        <v>30</v>
      </c>
      <c r="BE3" s="25" t="s">
        <v>59</v>
      </c>
      <c r="BF3" s="25" t="s">
        <v>32</v>
      </c>
      <c r="BG3" s="25" t="s">
        <v>7</v>
      </c>
      <c r="BH3" s="25" t="s">
        <v>41</v>
      </c>
      <c r="BI3" s="75"/>
      <c r="BJ3" s="75"/>
      <c r="BK3" s="75"/>
      <c r="BL3" s="75"/>
      <c r="BM3" s="75"/>
      <c r="BN3" s="75"/>
      <c r="CA3" s="25"/>
      <c r="CB3" s="25"/>
      <c r="CQ3" s="20" t="s">
        <v>70</v>
      </c>
      <c r="CR3" s="20" t="s">
        <v>71</v>
      </c>
      <c r="CS3" s="20" t="s">
        <v>6</v>
      </c>
      <c r="CT3" s="20" t="s">
        <v>16</v>
      </c>
      <c r="CU3" s="20" t="s">
        <v>11</v>
      </c>
      <c r="CV3" s="20" t="s">
        <v>14</v>
      </c>
      <c r="CW3" s="20" t="s">
        <v>55</v>
      </c>
      <c r="CX3" s="20" t="s">
        <v>3</v>
      </c>
      <c r="CY3" s="20" t="s">
        <v>35</v>
      </c>
      <c r="CZ3" s="20" t="s">
        <v>21</v>
      </c>
      <c r="DA3" s="20" t="s">
        <v>73</v>
      </c>
      <c r="DB3" s="20" t="s">
        <v>74</v>
      </c>
      <c r="DC3" s="20" t="s">
        <v>75</v>
      </c>
      <c r="DD3" s="20" t="s">
        <v>76</v>
      </c>
      <c r="DE3" s="20" t="s">
        <v>77</v>
      </c>
      <c r="DF3" s="30" t="s">
        <v>15</v>
      </c>
      <c r="DH3" s="21"/>
      <c r="DU3" s="24" t="s">
        <v>129</v>
      </c>
      <c r="DV3" s="24" t="s">
        <v>130</v>
      </c>
      <c r="DW3" s="89" t="s">
        <v>80</v>
      </c>
      <c r="DX3" s="24" t="s">
        <v>129</v>
      </c>
      <c r="DY3" s="24" t="s">
        <v>130</v>
      </c>
      <c r="DZ3" s="24" t="s">
        <v>80</v>
      </c>
      <c r="EB3" s="24" t="s">
        <v>130</v>
      </c>
      <c r="EC3" s="24" t="s">
        <v>80</v>
      </c>
      <c r="EE3" s="25" t="s">
        <v>117</v>
      </c>
      <c r="EF3" s="25"/>
      <c r="EJ3" s="25" t="s">
        <v>136</v>
      </c>
      <c r="EL3" s="92"/>
      <c r="EQ3" s="24" t="s">
        <v>116</v>
      </c>
      <c r="ER3" s="26" t="s">
        <v>53</v>
      </c>
      <c r="ES3" s="26" t="s">
        <v>62</v>
      </c>
      <c r="ET3" s="26" t="s">
        <v>63</v>
      </c>
      <c r="EU3" s="26" t="s">
        <v>52</v>
      </c>
      <c r="EV3" s="26" t="s">
        <v>2</v>
      </c>
      <c r="EW3" s="26" t="s">
        <v>18</v>
      </c>
      <c r="FC3" s="25" t="s">
        <v>117</v>
      </c>
      <c r="FD3" s="24" t="s">
        <v>108</v>
      </c>
      <c r="FE3" s="24" t="s">
        <v>104</v>
      </c>
      <c r="FF3" s="24" t="s">
        <v>118</v>
      </c>
      <c r="FG3" s="24" t="s">
        <v>119</v>
      </c>
      <c r="FH3" s="24" t="s">
        <v>115</v>
      </c>
      <c r="FI3" s="24" t="s">
        <v>121</v>
      </c>
      <c r="FJ3" s="24" t="s">
        <v>120</v>
      </c>
      <c r="FK3" s="24" t="s">
        <v>115</v>
      </c>
      <c r="FM3" s="24" t="s">
        <v>94</v>
      </c>
      <c r="FN3" s="24" t="s">
        <v>104</v>
      </c>
      <c r="FO3" s="24" t="s">
        <v>122</v>
      </c>
      <c r="FP3" s="24" t="s">
        <v>123</v>
      </c>
    </row>
    <row r="4" spans="1:172" x14ac:dyDescent="0.25">
      <c r="G4" s="60" t="s">
        <v>169</v>
      </c>
      <c r="H4" s="60"/>
      <c r="I4" s="60"/>
      <c r="J4" s="60"/>
      <c r="K4" s="7"/>
      <c r="L4" s="7"/>
      <c r="M4" s="7"/>
      <c r="N4" s="7"/>
      <c r="O4" s="7"/>
      <c r="P4" s="7"/>
      <c r="Q4" s="60" t="s">
        <v>233</v>
      </c>
      <c r="R4" s="60" t="s">
        <v>234</v>
      </c>
      <c r="S4" s="60"/>
      <c r="T4" s="60"/>
      <c r="U4" s="60" t="s">
        <v>240</v>
      </c>
      <c r="V4" s="7"/>
      <c r="W4" s="7"/>
      <c r="X4" s="7"/>
      <c r="Y4" s="7"/>
      <c r="Z4" s="7"/>
      <c r="AA4" s="7"/>
      <c r="AB4" s="65">
        <f t="shared" ref="AB4:AK4" si="0">IF($AD$7=1,AB13,IF($AD$7=2,AB22,AB31))</f>
        <v>44201</v>
      </c>
      <c r="AC4" s="65">
        <f t="shared" si="0"/>
        <v>2</v>
      </c>
      <c r="AD4" s="65" t="str">
        <f t="shared" si="0"/>
        <v>D Winkler, L Swearingen, V Welch</v>
      </c>
      <c r="AE4" s="65">
        <f t="shared" si="0"/>
        <v>0</v>
      </c>
      <c r="AF4" s="65">
        <f t="shared" si="0"/>
        <v>0</v>
      </c>
      <c r="AG4" s="65" t="str">
        <f t="shared" si="0"/>
        <v>TRIP IN HOLE WITH 3 1/2 DRILL PIPE</v>
      </c>
      <c r="AH4" s="65" t="str">
        <f t="shared" si="0"/>
        <v>DRILL OUT CMT, FLOATS AND CIRCULATE OUT SAND</v>
      </c>
      <c r="AI4" s="65" t="str">
        <f t="shared" si="0"/>
        <v>NIPPLE UP / NIPPLE DOWN BOP STACK</v>
      </c>
      <c r="AJ4" s="65">
        <f t="shared" si="0"/>
        <v>0</v>
      </c>
      <c r="AK4" s="65">
        <f t="shared" si="0"/>
        <v>0</v>
      </c>
      <c r="AQ4" s="7"/>
      <c r="AR4" s="60" t="s">
        <v>241</v>
      </c>
      <c r="AS4" s="60">
        <v>9</v>
      </c>
      <c r="AT4" s="60">
        <v>55</v>
      </c>
      <c r="AU4" s="60">
        <v>0</v>
      </c>
      <c r="AV4" s="60">
        <v>0</v>
      </c>
      <c r="BB4" s="59" t="s">
        <v>264</v>
      </c>
      <c r="BC4" s="59"/>
      <c r="BD4" s="59">
        <v>1811</v>
      </c>
      <c r="BE4" s="59">
        <v>-1811</v>
      </c>
      <c r="BF4" s="59">
        <v>13360</v>
      </c>
      <c r="BG4" s="59">
        <v>3137</v>
      </c>
      <c r="BH4" s="59">
        <v>10223</v>
      </c>
      <c r="BI4" s="75"/>
      <c r="BJ4" s="75"/>
      <c r="BK4" s="75"/>
      <c r="BL4" s="75"/>
      <c r="BM4" s="75"/>
      <c r="BN4" s="75"/>
      <c r="BT4" s="7"/>
      <c r="BU4" s="60">
        <v>44201</v>
      </c>
      <c r="BV4" s="60">
        <v>44232</v>
      </c>
      <c r="BZ4" s="7"/>
      <c r="CC4" s="59"/>
      <c r="CD4" s="59" t="s">
        <v>168</v>
      </c>
      <c r="CE4" s="59">
        <v>2.7639999999999998</v>
      </c>
      <c r="CF4" s="59">
        <v>13.3</v>
      </c>
      <c r="CG4" s="59" t="s">
        <v>235</v>
      </c>
      <c r="CH4" s="59"/>
      <c r="CI4" s="59"/>
      <c r="CJ4" s="59"/>
      <c r="CK4" s="7"/>
      <c r="CL4" s="7"/>
      <c r="CM4" s="7"/>
      <c r="CN4" s="7"/>
      <c r="CO4" s="7"/>
      <c r="CQ4" s="73" t="s">
        <v>249</v>
      </c>
      <c r="CR4" s="73">
        <v>4</v>
      </c>
      <c r="CS4" s="73">
        <v>20</v>
      </c>
      <c r="CT4" s="73">
        <v>19</v>
      </c>
      <c r="CU4" s="73" t="s">
        <v>253</v>
      </c>
      <c r="CV4" s="73" t="s">
        <v>257</v>
      </c>
      <c r="CW4" s="73" t="s">
        <v>261</v>
      </c>
      <c r="CX4" s="73">
        <v>130</v>
      </c>
      <c r="CY4" s="73">
        <v>130</v>
      </c>
      <c r="CZ4" s="73">
        <v>130</v>
      </c>
      <c r="DA4" s="73">
        <v>0</v>
      </c>
      <c r="DB4" s="74">
        <v>44134</v>
      </c>
      <c r="DC4" s="73"/>
      <c r="DD4" s="74"/>
      <c r="DE4" s="74"/>
      <c r="DF4" s="74"/>
      <c r="DH4" s="22"/>
      <c r="DL4" s="7"/>
      <c r="DM4" s="59" t="s">
        <v>242</v>
      </c>
      <c r="DN4" s="59" t="s">
        <v>243</v>
      </c>
      <c r="DO4" s="59">
        <v>14</v>
      </c>
      <c r="DP4" s="59" t="s">
        <v>246</v>
      </c>
      <c r="DQ4" s="59" t="s">
        <v>248</v>
      </c>
      <c r="DR4" s="59" t="s">
        <v>244</v>
      </c>
      <c r="DS4" s="59"/>
      <c r="DU4" s="59" t="s">
        <v>170</v>
      </c>
      <c r="DV4" s="59">
        <v>0</v>
      </c>
      <c r="DW4" s="59">
        <v>0</v>
      </c>
      <c r="DX4" s="59" t="s">
        <v>220</v>
      </c>
      <c r="DY4" s="59">
        <v>0</v>
      </c>
      <c r="DZ4" s="59">
        <v>0</v>
      </c>
      <c r="EB4" s="90">
        <f>SUM(DV4:DV100)+SUM(DY4:DY100)</f>
        <v>52569</v>
      </c>
      <c r="EC4" s="90">
        <f>SUM(DW4:DW100)+SUM(DZ4:DZ100)</f>
        <v>52569</v>
      </c>
      <c r="EE4" s="77">
        <f>IF(AND(EF4&lt;&gt;"",EL4&lt;=$AB$4,COUNTIF(EF5:$EF$200,EF4)=0),MAX($EE$3:EE3)+1,0)</f>
        <v>0</v>
      </c>
      <c r="EF4" s="73"/>
      <c r="EG4" s="73"/>
      <c r="EH4" s="73"/>
      <c r="EI4" s="73"/>
      <c r="EJ4" s="73"/>
      <c r="EK4" s="73"/>
      <c r="EL4" s="74"/>
      <c r="EQ4" s="66" t="str">
        <f>IF(EE2=0,"",IF(EE2&lt;9,EE2-EE2+1,EE2-7))</f>
        <v/>
      </c>
      <c r="ER4" s="72" t="str">
        <f t="shared" ref="ER4:EW11" si="1">IFERROR(INDEX(EF$4:EF$200,MATCH($EQ4,$EE$4:$EE$200,0)),"")</f>
        <v/>
      </c>
      <c r="ES4" s="72" t="str">
        <f t="shared" si="1"/>
        <v/>
      </c>
      <c r="ET4" s="72" t="str">
        <f t="shared" si="1"/>
        <v/>
      </c>
      <c r="EU4" s="72" t="str">
        <f t="shared" si="1"/>
        <v/>
      </c>
      <c r="EV4" s="72" t="str">
        <f t="shared" si="1"/>
        <v/>
      </c>
      <c r="EW4" s="72" t="str">
        <f t="shared" si="1"/>
        <v/>
      </c>
      <c r="FC4" s="66">
        <f>COUNTA(FD4:FD105)</f>
        <v>0</v>
      </c>
      <c r="FD4" s="73"/>
      <c r="FE4" s="73"/>
      <c r="FF4" s="73"/>
      <c r="FG4" s="73"/>
      <c r="FH4" s="66" t="str">
        <f t="shared" ref="FH4:FH35" si="2">IF(FD4&lt;&gt;"",CONCATENATE(FF4," / ",FI4),"")</f>
        <v/>
      </c>
      <c r="FI4" s="73"/>
      <c r="FJ4" s="73"/>
      <c r="FK4" s="66" t="str">
        <f t="shared" ref="FK4:FK35" si="3">IF(FD4&lt;&gt;"",CONCATENATE(FG4," / ",FJ4),"")</f>
        <v/>
      </c>
      <c r="FM4" s="66">
        <f>IFERROR(IF($FC$4&gt;8,INDEX(FD$4:FD$105,$FC$4-7),FD4),"")</f>
        <v>0</v>
      </c>
      <c r="FN4" s="66">
        <f>IFERROR(IF($FC$4&gt;8,INDEX(FE$4:FE$105,$FC$4-7),FE4),"")</f>
        <v>0</v>
      </c>
      <c r="FO4" s="66" t="str">
        <f>IFERROR(IF($FC$4&gt;8,INDEX(FH$4:FH$105,$FC$4-7),FH4),"")</f>
        <v/>
      </c>
      <c r="FP4" s="66" t="str">
        <f>IFERROR(IF($FC$4&gt;8,INDEX(FK$4:FK$105,$FC$4-7),FK4),"")</f>
        <v/>
      </c>
    </row>
    <row r="5" spans="1:172" x14ac:dyDescent="0.25"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7"/>
      <c r="V5" s="7"/>
      <c r="W5" s="7"/>
      <c r="X5" s="7"/>
      <c r="Y5" s="7"/>
      <c r="Z5" s="7"/>
      <c r="AA5" s="7"/>
      <c r="AB5" s="8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 t="s">
        <v>4</v>
      </c>
      <c r="BC5" s="7">
        <v>314</v>
      </c>
      <c r="BD5" s="7">
        <v>0</v>
      </c>
      <c r="BE5" s="9">
        <v>314</v>
      </c>
      <c r="BF5" s="7">
        <v>314</v>
      </c>
      <c r="BG5" s="7">
        <v>0</v>
      </c>
      <c r="BH5" s="7">
        <v>314</v>
      </c>
      <c r="BI5" s="7"/>
      <c r="BJ5" s="7"/>
      <c r="BL5" s="7"/>
      <c r="BM5" s="7"/>
      <c r="BN5" s="7"/>
      <c r="BO5" s="7"/>
      <c r="BP5" s="7"/>
      <c r="BQ5" s="7"/>
      <c r="BR5" s="7"/>
      <c r="BS5" s="7"/>
      <c r="BT5" s="7"/>
      <c r="BU5" s="8"/>
      <c r="BV5" s="8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 t="s">
        <v>250</v>
      </c>
      <c r="CR5" s="7">
        <v>1</v>
      </c>
      <c r="CS5" s="7">
        <v>13.375</v>
      </c>
      <c r="CT5" s="7">
        <v>12.41</v>
      </c>
      <c r="CU5" s="7" t="s">
        <v>254</v>
      </c>
      <c r="CV5" s="7" t="s">
        <v>258</v>
      </c>
      <c r="CW5" s="7" t="s">
        <v>262</v>
      </c>
      <c r="CX5" s="7">
        <v>1631.09</v>
      </c>
      <c r="CY5" s="7">
        <v>1629</v>
      </c>
      <c r="CZ5" s="7">
        <v>1629</v>
      </c>
      <c r="DA5" s="7">
        <v>0</v>
      </c>
      <c r="DB5" s="7">
        <v>44135</v>
      </c>
      <c r="DC5" s="7"/>
      <c r="DE5" s="7"/>
      <c r="DF5" s="7"/>
      <c r="DG5" s="7"/>
      <c r="DI5" s="7"/>
      <c r="DJ5" s="7"/>
      <c r="DK5" s="7"/>
      <c r="DL5" s="7"/>
      <c r="DM5" s="13" t="s">
        <v>243</v>
      </c>
      <c r="DN5" s="13" t="s">
        <v>242</v>
      </c>
      <c r="DO5" s="7">
        <v>10</v>
      </c>
      <c r="DP5" s="7" t="s">
        <v>247</v>
      </c>
      <c r="DQ5" s="7" t="s">
        <v>248</v>
      </c>
      <c r="DR5" s="7" t="s">
        <v>245</v>
      </c>
      <c r="DS5" s="7"/>
      <c r="DT5" s="7"/>
      <c r="DU5" s="7" t="s">
        <v>171</v>
      </c>
      <c r="DV5" s="7">
        <v>0</v>
      </c>
      <c r="DW5" s="7">
        <v>0</v>
      </c>
      <c r="DX5" s="7" t="s">
        <v>221</v>
      </c>
      <c r="DY5" s="7">
        <v>0</v>
      </c>
      <c r="DZ5" s="7">
        <v>0</v>
      </c>
      <c r="EE5" s="77">
        <f>IF(AND(EF5&lt;&gt;"",EL5&lt;=$AB$4,COUNTIF(EF6:$EF$200,EF5)=0),MAX($EE$3:EE4)+1,0)</f>
        <v>0</v>
      </c>
      <c r="EQ5" s="66" t="str">
        <f t="shared" ref="EQ5:EQ11" si="4">IFERROR(IF(EQ4+1&gt;$EE$2,NA(),EQ4+1),"")</f>
        <v/>
      </c>
      <c r="ER5" s="72" t="str">
        <f t="shared" si="1"/>
        <v/>
      </c>
      <c r="ES5" s="72" t="str">
        <f t="shared" si="1"/>
        <v/>
      </c>
      <c r="ET5" s="72" t="str">
        <f t="shared" si="1"/>
        <v/>
      </c>
      <c r="EU5" s="72" t="str">
        <f t="shared" si="1"/>
        <v/>
      </c>
      <c r="EV5" s="72" t="str">
        <f t="shared" si="1"/>
        <v/>
      </c>
      <c r="EW5" s="72" t="str">
        <f t="shared" si="1"/>
        <v/>
      </c>
      <c r="FH5" s="66" t="str">
        <f t="shared" si="2"/>
        <v/>
      </c>
      <c r="FK5" s="66" t="str">
        <f t="shared" si="3"/>
        <v/>
      </c>
      <c r="FM5" s="66">
        <f>IFERROR(IF($FC$4&gt;8,INDEX(FD$4:FD$105,$FC$4-6),FD5),"")</f>
        <v>0</v>
      </c>
      <c r="FN5" s="66">
        <f>IFERROR(IF($FC$4&gt;8,INDEX(FE$4:FE$105,$FC$4-6),FE5),"")</f>
        <v>0</v>
      </c>
      <c r="FO5" s="66" t="str">
        <f>IFERROR(IF($FC$4&gt;8,INDEX(FH$4:FH$105,$FC$4-6),FH5),"")</f>
        <v/>
      </c>
      <c r="FP5" s="66" t="str">
        <f>IFERROR(IF($FC$4&gt;8,INDEX(FK$4:FK$105,$FC$4-6),FK5),"")</f>
        <v/>
      </c>
    </row>
    <row r="6" spans="1:172" x14ac:dyDescent="0.25">
      <c r="G6" s="7"/>
      <c r="H6" s="7"/>
      <c r="I6" s="11"/>
      <c r="J6" s="11"/>
      <c r="K6" s="7"/>
      <c r="L6" s="7"/>
      <c r="M6" s="7"/>
      <c r="N6" s="7"/>
      <c r="O6" s="7"/>
      <c r="P6" s="7"/>
      <c r="Q6" s="7"/>
      <c r="R6" s="7"/>
      <c r="S6" s="22"/>
      <c r="T6" s="22"/>
      <c r="X6" s="7"/>
      <c r="AA6" s="7"/>
      <c r="AB6" s="9" t="s">
        <v>35</v>
      </c>
      <c r="AC6" s="9" t="s">
        <v>21</v>
      </c>
      <c r="AD6" s="6" t="s">
        <v>92</v>
      </c>
      <c r="AE6" s="6" t="s">
        <v>160</v>
      </c>
      <c r="AQ6" s="7"/>
      <c r="BB6" s="7"/>
      <c r="BT6" s="7"/>
      <c r="BZ6" s="7"/>
      <c r="CC6" s="11"/>
      <c r="CM6" s="7"/>
      <c r="CO6" s="7"/>
      <c r="CQ6" s="9" t="s">
        <v>251</v>
      </c>
      <c r="CR6" s="9">
        <v>5</v>
      </c>
      <c r="CS6" s="9">
        <v>9.625</v>
      </c>
      <c r="CT6" s="9">
        <v>8.75</v>
      </c>
      <c r="CU6" s="9" t="s">
        <v>255</v>
      </c>
      <c r="CV6" s="9" t="s">
        <v>259</v>
      </c>
      <c r="CW6" s="7" t="s">
        <v>262</v>
      </c>
      <c r="CX6" s="9">
        <v>5110</v>
      </c>
      <c r="CY6" s="9">
        <v>5110</v>
      </c>
      <c r="CZ6" s="9">
        <v>5109.18</v>
      </c>
      <c r="DA6" s="9">
        <v>0</v>
      </c>
      <c r="DB6" s="9">
        <v>44146</v>
      </c>
      <c r="DL6" s="7"/>
      <c r="DU6" s="9" t="s">
        <v>172</v>
      </c>
      <c r="DV6" s="7">
        <v>38000</v>
      </c>
      <c r="DW6" s="7">
        <v>38000</v>
      </c>
      <c r="DX6" s="7" t="s">
        <v>222</v>
      </c>
      <c r="DY6" s="7">
        <v>0</v>
      </c>
      <c r="DZ6" s="7">
        <v>0</v>
      </c>
      <c r="EE6" s="77">
        <f>IF(AND(EF6&lt;&gt;"",EL6&lt;=$AB$4,COUNTIF(EF7:$EF$200,EF6)=0),MAX($EE$3:EE5)+1,0)</f>
        <v>0</v>
      </c>
      <c r="EQ6" s="66" t="str">
        <f t="shared" si="4"/>
        <v/>
      </c>
      <c r="ER6" s="72" t="str">
        <f t="shared" si="1"/>
        <v/>
      </c>
      <c r="ES6" s="72" t="str">
        <f t="shared" si="1"/>
        <v/>
      </c>
      <c r="ET6" s="72" t="str">
        <f t="shared" si="1"/>
        <v/>
      </c>
      <c r="EU6" s="72" t="str">
        <f t="shared" si="1"/>
        <v/>
      </c>
      <c r="EV6" s="72" t="str">
        <f t="shared" si="1"/>
        <v/>
      </c>
      <c r="EW6" s="72" t="str">
        <f t="shared" si="1"/>
        <v/>
      </c>
      <c r="FH6" s="66" t="str">
        <f t="shared" si="2"/>
        <v/>
      </c>
      <c r="FK6" s="66" t="str">
        <f t="shared" si="3"/>
        <v/>
      </c>
      <c r="FM6" s="66">
        <f>IFERROR(IF($FC$4&gt;8,INDEX(FD$4:FD$105,$FC$4-5),FD6),"")</f>
        <v>0</v>
      </c>
      <c r="FN6" s="66">
        <f>IFERROR(IF($FC$4&gt;8,INDEX(FE$4:FE$105,$FC$4-5),FE6),"")</f>
        <v>0</v>
      </c>
      <c r="FO6" s="66" t="str">
        <f>IFERROR(IF($FC$4&gt;8,INDEX(FH$4:FH$105,$FC$4-5),FH6),"")</f>
        <v/>
      </c>
      <c r="FP6" s="66" t="str">
        <f>IFERROR(IF($FC$4&gt;8,INDEX(FK$4:FK$105,$FC$4-5),FK6),"")</f>
        <v/>
      </c>
    </row>
    <row r="7" spans="1:172" x14ac:dyDescent="0.25">
      <c r="G7" s="7"/>
      <c r="H7" s="7"/>
      <c r="I7" s="11"/>
      <c r="J7" s="11"/>
      <c r="K7" s="7"/>
      <c r="L7" s="7"/>
      <c r="M7" s="7"/>
      <c r="N7" s="7"/>
      <c r="O7" s="7"/>
      <c r="P7" s="7"/>
      <c r="Q7" s="7"/>
      <c r="R7" s="7"/>
      <c r="S7" s="78"/>
      <c r="T7" s="78"/>
      <c r="U7" s="78"/>
      <c r="X7" s="7"/>
      <c r="AA7" s="7"/>
      <c r="AB7" s="65">
        <f>IF($AD$7=1,AB16,IF($AD$7=2,AB25,AB34))</f>
        <v>10987</v>
      </c>
      <c r="AC7" s="65">
        <f>IF($AD$7=1,AC16,IF($AD$7=2,AC25,AC34))</f>
        <v>8559</v>
      </c>
      <c r="AD7" s="66">
        <f>IF(AB31="",IF(AB22="",1,2),3)</f>
        <v>1</v>
      </c>
      <c r="AE7" s="65">
        <f>IF($AD$7=1,AD16,IF($AD$7=2,AD25,AD34))</f>
        <v>0</v>
      </c>
      <c r="AQ7" s="7"/>
      <c r="BB7" s="7"/>
      <c r="BT7" s="7"/>
      <c r="BZ7" s="7"/>
      <c r="CC7" s="11"/>
      <c r="CM7" s="7"/>
      <c r="CO7" s="7"/>
      <c r="CQ7" s="9" t="s">
        <v>252</v>
      </c>
      <c r="CR7" s="9">
        <v>6</v>
      </c>
      <c r="CS7" s="9">
        <v>7</v>
      </c>
      <c r="CT7" s="9">
        <v>5.92</v>
      </c>
      <c r="CU7" s="9" t="s">
        <v>256</v>
      </c>
      <c r="CV7" s="9" t="s">
        <v>260</v>
      </c>
      <c r="CW7" s="7" t="s">
        <v>263</v>
      </c>
      <c r="CX7" s="9">
        <v>10769.92</v>
      </c>
      <c r="CY7" s="9">
        <v>10787</v>
      </c>
      <c r="CZ7" s="9">
        <v>0</v>
      </c>
      <c r="DB7" s="9">
        <v>44197</v>
      </c>
      <c r="DL7" s="7"/>
      <c r="DU7" s="9" t="s">
        <v>173</v>
      </c>
      <c r="DV7" s="7">
        <v>1104</v>
      </c>
      <c r="DW7" s="7">
        <v>1104</v>
      </c>
      <c r="DX7" s="7" t="s">
        <v>223</v>
      </c>
      <c r="DY7" s="7">
        <v>0</v>
      </c>
      <c r="DZ7" s="7">
        <v>0</v>
      </c>
      <c r="EE7" s="77">
        <f>IF(AND(EF7&lt;&gt;"",EL7&lt;=$AB$4,COUNTIF(EF8:$EF$200,EF7)=0),MAX($EE$3:EE6)+1,0)</f>
        <v>0</v>
      </c>
      <c r="EQ7" s="66" t="str">
        <f t="shared" si="4"/>
        <v/>
      </c>
      <c r="ER7" s="72" t="str">
        <f t="shared" si="1"/>
        <v/>
      </c>
      <c r="ES7" s="72" t="str">
        <f t="shared" si="1"/>
        <v/>
      </c>
      <c r="ET7" s="72" t="str">
        <f t="shared" si="1"/>
        <v/>
      </c>
      <c r="EU7" s="72" t="str">
        <f t="shared" si="1"/>
        <v/>
      </c>
      <c r="EV7" s="72" t="str">
        <f t="shared" si="1"/>
        <v/>
      </c>
      <c r="EW7" s="72" t="str">
        <f t="shared" si="1"/>
        <v/>
      </c>
      <c r="FH7" s="66" t="str">
        <f t="shared" si="2"/>
        <v/>
      </c>
      <c r="FK7" s="66" t="str">
        <f t="shared" si="3"/>
        <v/>
      </c>
      <c r="FM7" s="66">
        <f>IFERROR(IF($FC$4&gt;8,INDEX(FD$4:FD$105,$FC$4-4),FD7),"")</f>
        <v>0</v>
      </c>
      <c r="FN7" s="66">
        <f>IFERROR(IF($FC$4&gt;8,INDEX(FE$4:FE$105,$FC$4-4),FE7),"")</f>
        <v>0</v>
      </c>
      <c r="FO7" s="66" t="str">
        <f>IFERROR(IF($FC$4&gt;8,INDEX(FH$4:FH$105,$FC$4-4),FH7),"")</f>
        <v/>
      </c>
      <c r="FP7" s="66" t="str">
        <f>IFERROR(IF($FC$4&gt;8,INDEX(FK$4:FK$105,$FC$4-4),FK7),"")</f>
        <v/>
      </c>
    </row>
    <row r="8" spans="1:172" x14ac:dyDescent="0.25">
      <c r="G8" s="7"/>
      <c r="H8" s="7"/>
      <c r="I8" s="11"/>
      <c r="J8" s="11"/>
      <c r="K8" s="7"/>
      <c r="L8" s="7"/>
      <c r="M8" s="7"/>
      <c r="N8" s="7"/>
      <c r="O8" s="7"/>
      <c r="P8" s="7"/>
      <c r="Q8" s="7"/>
      <c r="R8" s="7"/>
      <c r="S8" s="29"/>
      <c r="T8" s="9"/>
      <c r="X8" s="7"/>
      <c r="AA8" s="7"/>
      <c r="AB8" s="14"/>
      <c r="AC8" s="9"/>
      <c r="AQ8" s="7"/>
      <c r="BB8" s="7"/>
      <c r="BT8" s="7"/>
      <c r="BZ8" s="7"/>
      <c r="CC8" s="11"/>
      <c r="CM8" s="7"/>
      <c r="CO8" s="7"/>
      <c r="CW8" s="7"/>
      <c r="DL8" s="7"/>
      <c r="DU8" s="9" t="s">
        <v>174</v>
      </c>
      <c r="DV8" s="7">
        <v>1100</v>
      </c>
      <c r="DW8" s="86">
        <v>1100</v>
      </c>
      <c r="DX8" s="86" t="s">
        <v>224</v>
      </c>
      <c r="DY8" s="7">
        <v>0</v>
      </c>
      <c r="DZ8" s="7">
        <v>0</v>
      </c>
      <c r="EE8" s="77">
        <f>IF(AND(EF8&lt;&gt;"",EL8&lt;=$AB$4,COUNTIF(EF9:$EF$200,EF8)=0),MAX($EE$3:EE7)+1,0)</f>
        <v>0</v>
      </c>
      <c r="EQ8" s="66" t="str">
        <f t="shared" si="4"/>
        <v/>
      </c>
      <c r="ER8" s="72" t="str">
        <f t="shared" si="1"/>
        <v/>
      </c>
      <c r="ES8" s="72" t="str">
        <f t="shared" si="1"/>
        <v/>
      </c>
      <c r="ET8" s="72" t="str">
        <f t="shared" si="1"/>
        <v/>
      </c>
      <c r="EU8" s="72" t="str">
        <f t="shared" si="1"/>
        <v/>
      </c>
      <c r="EV8" s="72" t="str">
        <f t="shared" si="1"/>
        <v/>
      </c>
      <c r="EW8" s="72" t="str">
        <f t="shared" si="1"/>
        <v/>
      </c>
      <c r="FH8" s="66" t="str">
        <f t="shared" si="2"/>
        <v/>
      </c>
      <c r="FK8" s="66" t="str">
        <f t="shared" si="3"/>
        <v/>
      </c>
      <c r="FM8" s="66">
        <f>IFERROR(IF($FC$4&gt;8,INDEX(FD$4:FD$105,$FC$4-3),FD8),"")</f>
        <v>0</v>
      </c>
      <c r="FN8" s="66">
        <f>IFERROR(IF($FC$4&gt;8,INDEX(FE$4:FE$105,$FC$4-3),FE8),"")</f>
        <v>0</v>
      </c>
      <c r="FO8" s="66" t="str">
        <f>IFERROR(IF($FC$4&gt;8,INDEX(FH$4:FH$105,$FC$4-3),FH8),"")</f>
        <v/>
      </c>
      <c r="FP8" s="66" t="str">
        <f>IFERROR(IF($FC$4&gt;8,INDEX(FK$4:FK$105,$FC$4-3),FK8),"")</f>
        <v/>
      </c>
    </row>
    <row r="9" spans="1:172" x14ac:dyDescent="0.25">
      <c r="S9" s="78"/>
      <c r="T9" s="9"/>
      <c r="CC9" s="11"/>
      <c r="DU9" s="9" t="s">
        <v>175</v>
      </c>
      <c r="DV9" s="9">
        <v>500</v>
      </c>
      <c r="DW9" s="22">
        <v>500</v>
      </c>
      <c r="DX9" s="22" t="s">
        <v>225</v>
      </c>
      <c r="DY9" s="7">
        <v>0</v>
      </c>
      <c r="DZ9" s="7">
        <v>0</v>
      </c>
      <c r="EE9" s="77">
        <f>IF(AND(EF9&lt;&gt;"",EL9&lt;=$AB$4,COUNTIF(EF10:$EF$200,EF9)=0),MAX($EE$3:EE8)+1,0)</f>
        <v>0</v>
      </c>
      <c r="EQ9" s="66" t="str">
        <f t="shared" si="4"/>
        <v/>
      </c>
      <c r="ER9" s="72" t="str">
        <f t="shared" si="1"/>
        <v/>
      </c>
      <c r="ES9" s="72" t="str">
        <f t="shared" si="1"/>
        <v/>
      </c>
      <c r="ET9" s="72" t="str">
        <f t="shared" si="1"/>
        <v/>
      </c>
      <c r="EU9" s="72" t="str">
        <f t="shared" si="1"/>
        <v/>
      </c>
      <c r="EV9" s="72" t="str">
        <f t="shared" si="1"/>
        <v/>
      </c>
      <c r="EW9" s="72" t="str">
        <f t="shared" si="1"/>
        <v/>
      </c>
      <c r="FH9" s="66" t="str">
        <f t="shared" si="2"/>
        <v/>
      </c>
      <c r="FK9" s="66" t="str">
        <f t="shared" si="3"/>
        <v/>
      </c>
      <c r="FM9" s="66">
        <f>IFERROR(IF($FC$4&gt;8,INDEX(FD$4:FD$105,$FC$4-2),FD9),"")</f>
        <v>0</v>
      </c>
      <c r="FN9" s="66">
        <f>IFERROR(IF($FC$4&gt;8,INDEX(FE$4:FE$105,$FC$4-2),FE9),"")</f>
        <v>0</v>
      </c>
      <c r="FO9" s="66" t="str">
        <f>IFERROR(IF($FC$4&gt;8,INDEX(FH$4:FH$105,$FC$4-2),FH9),"")</f>
        <v/>
      </c>
      <c r="FP9" s="66" t="str">
        <f>IFERROR(IF($FC$4&gt;8,INDEX(FK$4:FK$105,$FC$4-2),FK9),"")</f>
        <v/>
      </c>
    </row>
    <row r="10" spans="1:172" x14ac:dyDescent="0.25">
      <c r="S10" s="78"/>
      <c r="T10" s="9"/>
      <c r="AB10" s="218" t="s">
        <v>89</v>
      </c>
      <c r="AC10" s="218"/>
      <c r="AD10" s="218"/>
      <c r="AE10" s="218"/>
      <c r="AF10" s="218"/>
      <c r="AG10" s="218"/>
      <c r="AH10" s="218"/>
      <c r="AI10" s="218"/>
      <c r="AJ10" s="218"/>
      <c r="AK10" s="218"/>
      <c r="CC10" s="11"/>
      <c r="DU10" s="9" t="s">
        <v>176</v>
      </c>
      <c r="DV10" s="9">
        <v>60</v>
      </c>
      <c r="DW10" s="7">
        <v>60</v>
      </c>
      <c r="DX10" s="7" t="s">
        <v>226</v>
      </c>
      <c r="DY10" s="7">
        <v>0</v>
      </c>
      <c r="DZ10" s="7">
        <v>0</v>
      </c>
      <c r="EE10" s="77">
        <f>IF(AND(EF10&lt;&gt;"",EL10&lt;=$AB$4,COUNTIF(EF11:$EF$200,EF10)=0),MAX($EE$3:EE9)+1,0)</f>
        <v>0</v>
      </c>
      <c r="EQ10" s="66" t="str">
        <f t="shared" si="4"/>
        <v/>
      </c>
      <c r="ER10" s="72" t="str">
        <f t="shared" si="1"/>
        <v/>
      </c>
      <c r="ES10" s="72" t="str">
        <f t="shared" si="1"/>
        <v/>
      </c>
      <c r="ET10" s="72" t="str">
        <f t="shared" si="1"/>
        <v/>
      </c>
      <c r="EU10" s="72" t="str">
        <f t="shared" si="1"/>
        <v/>
      </c>
      <c r="EV10" s="72" t="str">
        <f t="shared" si="1"/>
        <v/>
      </c>
      <c r="EW10" s="72" t="str">
        <f t="shared" si="1"/>
        <v/>
      </c>
      <c r="FH10" s="66" t="str">
        <f t="shared" si="2"/>
        <v/>
      </c>
      <c r="FK10" s="66" t="str">
        <f t="shared" si="3"/>
        <v/>
      </c>
      <c r="FM10" s="66">
        <f>IFERROR(IF($FC$4&gt;8,INDEX(FD$4:FD$105,$FC$4-1),FD10),"")</f>
        <v>0</v>
      </c>
      <c r="FN10" s="66">
        <f>IFERROR(IF($FC$4&gt;8,INDEX(FE$4:FE$105,$FC$4-1),FE10),"")</f>
        <v>0</v>
      </c>
      <c r="FO10" s="66" t="str">
        <f>IFERROR(IF($FC$4&gt;8,INDEX(FH$4:FH$105,$FC$4-1),FH10),"")</f>
        <v/>
      </c>
      <c r="FP10" s="66" t="str">
        <f>IFERROR(IF($FC$4&gt;8,INDEX(FK$4:FK$105,$FC$4-1),FK10),"")</f>
        <v/>
      </c>
    </row>
    <row r="11" spans="1:172" x14ac:dyDescent="0.25">
      <c r="S11" s="78"/>
      <c r="T11" s="9"/>
      <c r="AB11" s="8" t="s">
        <v>58</v>
      </c>
      <c r="AC11" s="9" t="s">
        <v>47</v>
      </c>
      <c r="AD11" s="9" t="s">
        <v>20</v>
      </c>
      <c r="AE11" s="9" t="s">
        <v>50</v>
      </c>
      <c r="AF11" s="9" t="s">
        <v>25</v>
      </c>
      <c r="AG11" s="9" t="s">
        <v>37</v>
      </c>
      <c r="AH11" s="9" t="s">
        <v>10</v>
      </c>
      <c r="AI11" s="9" t="s">
        <v>8</v>
      </c>
      <c r="AJ11" s="9" t="s">
        <v>5</v>
      </c>
      <c r="AK11" s="9" t="s">
        <v>12</v>
      </c>
      <c r="CC11" s="11"/>
      <c r="DU11" s="9" t="s">
        <v>177</v>
      </c>
      <c r="DV11" s="9">
        <v>60</v>
      </c>
      <c r="DW11" s="78">
        <v>60</v>
      </c>
      <c r="DX11" s="78" t="s">
        <v>227</v>
      </c>
      <c r="DY11" s="7">
        <v>0</v>
      </c>
      <c r="DZ11" s="7">
        <v>0</v>
      </c>
      <c r="EE11" s="77">
        <f>IF(AND(EF11&lt;&gt;"",EL11&lt;=$AB$4,COUNTIF(EF12:$EF$200,EF11)=0),MAX($EE$3:EE10)+1,0)</f>
        <v>0</v>
      </c>
      <c r="EQ11" s="66" t="str">
        <f t="shared" si="4"/>
        <v/>
      </c>
      <c r="ER11" s="72" t="str">
        <f t="shared" si="1"/>
        <v/>
      </c>
      <c r="ES11" s="72" t="str">
        <f t="shared" si="1"/>
        <v/>
      </c>
      <c r="ET11" s="72" t="str">
        <f t="shared" si="1"/>
        <v/>
      </c>
      <c r="EU11" s="72" t="str">
        <f t="shared" si="1"/>
        <v/>
      </c>
      <c r="EV11" s="72" t="str">
        <f t="shared" si="1"/>
        <v/>
      </c>
      <c r="EW11" s="72" t="str">
        <f t="shared" si="1"/>
        <v/>
      </c>
      <c r="FH11" s="66" t="str">
        <f t="shared" si="2"/>
        <v/>
      </c>
      <c r="FK11" s="66" t="str">
        <f t="shared" si="3"/>
        <v/>
      </c>
      <c r="FM11" s="66">
        <f>IFERROR(IF($FC$4&gt;8,INDEX(FD$4:FD$105,$FC$4),FD11),"")</f>
        <v>0</v>
      </c>
      <c r="FN11" s="66">
        <f>IFERROR(IF($FC$4&gt;8,INDEX(FE$4:FE$105,$FC$4),FE11),"")</f>
        <v>0</v>
      </c>
      <c r="FO11" s="66" t="str">
        <f>IFERROR(IF($FC$4&gt;8,INDEX(FH$4:FH$105,$FC$4),FH11),"")</f>
        <v/>
      </c>
      <c r="FP11" s="66" t="str">
        <f>IFERROR(IF($FC$4&gt;8,INDEX(FK$4:FK$105,$FC$4),FK11),"")</f>
        <v/>
      </c>
    </row>
    <row r="12" spans="1:172" x14ac:dyDescent="0.25">
      <c r="S12" s="9"/>
      <c r="T12" s="9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CC12" s="11"/>
      <c r="DU12" s="9" t="s">
        <v>178</v>
      </c>
      <c r="DV12" s="9">
        <v>0</v>
      </c>
      <c r="DW12" s="7">
        <v>0</v>
      </c>
      <c r="DX12" s="7" t="s">
        <v>228</v>
      </c>
      <c r="DY12" s="7">
        <v>0</v>
      </c>
      <c r="DZ12" s="7">
        <v>0</v>
      </c>
      <c r="EE12" s="77">
        <f>IF(AND(EF12&lt;&gt;"",EL12&lt;=$AB$4,COUNTIF(EF13:$EF$200,EF12)=0),MAX($EE$3:EE11)+1,0)</f>
        <v>0</v>
      </c>
      <c r="ER12" s="78"/>
      <c r="ES12" s="78"/>
      <c r="ET12" s="78"/>
      <c r="EU12" s="78"/>
      <c r="EV12" s="78"/>
      <c r="EW12" s="78"/>
      <c r="FH12" s="66" t="str">
        <f t="shared" si="2"/>
        <v/>
      </c>
      <c r="FK12" s="66" t="str">
        <f t="shared" si="3"/>
        <v/>
      </c>
    </row>
    <row r="13" spans="1:172" x14ac:dyDescent="0.25">
      <c r="S13" s="9"/>
      <c r="T13" s="9"/>
      <c r="AB13" s="60">
        <v>44201</v>
      </c>
      <c r="AC13" s="60">
        <v>2</v>
      </c>
      <c r="AD13" s="60" t="s">
        <v>236</v>
      </c>
      <c r="AE13" s="60"/>
      <c r="AF13" s="60"/>
      <c r="AG13" s="60" t="s">
        <v>237</v>
      </c>
      <c r="AH13" s="60" t="s">
        <v>238</v>
      </c>
      <c r="AI13" s="60" t="s">
        <v>239</v>
      </c>
      <c r="AJ13" s="60"/>
      <c r="AK13" s="60"/>
      <c r="CC13" s="11"/>
      <c r="DU13" s="9" t="s">
        <v>179</v>
      </c>
      <c r="DV13" s="9">
        <v>0</v>
      </c>
      <c r="DW13" s="7">
        <v>0</v>
      </c>
      <c r="DX13" s="7" t="s">
        <v>229</v>
      </c>
      <c r="DY13" s="7">
        <v>0</v>
      </c>
      <c r="DZ13" s="7">
        <v>0</v>
      </c>
      <c r="EE13" s="77">
        <f>IF(AND(EF13&lt;&gt;"",EL13&lt;=$AB$4,COUNTIF(EF14:$EF$200,EF13)=0),MAX($EE$3:EE12)+1,0)</f>
        <v>0</v>
      </c>
      <c r="ER13" s="78"/>
      <c r="ES13" s="78"/>
      <c r="ET13" s="78"/>
      <c r="EU13" s="78"/>
      <c r="EV13" s="78"/>
      <c r="EW13" s="78"/>
      <c r="FH13" s="66" t="str">
        <f t="shared" si="2"/>
        <v/>
      </c>
      <c r="FK13" s="66" t="str">
        <f t="shared" si="3"/>
        <v/>
      </c>
    </row>
    <row r="14" spans="1:172" x14ac:dyDescent="0.25">
      <c r="S14" s="22"/>
      <c r="T14" s="22"/>
      <c r="AB14" s="8"/>
      <c r="AC14" s="7"/>
      <c r="AD14" s="7"/>
      <c r="AE14" s="7"/>
      <c r="AF14" s="7"/>
      <c r="AG14" s="7"/>
      <c r="AH14" s="7"/>
      <c r="AI14" s="7"/>
      <c r="AJ14" s="7"/>
      <c r="AK14" s="7"/>
      <c r="CC14" s="11"/>
      <c r="DU14" s="9" t="s">
        <v>180</v>
      </c>
      <c r="DV14" s="9">
        <v>0</v>
      </c>
      <c r="DW14" s="7">
        <v>0</v>
      </c>
      <c r="DX14" s="7" t="s">
        <v>230</v>
      </c>
      <c r="DY14" s="7">
        <v>0</v>
      </c>
      <c r="DZ14" s="7">
        <v>0</v>
      </c>
      <c r="EE14" s="77">
        <f>IF(AND(EF14&lt;&gt;"",EL14&lt;=$AB$4,COUNTIF(EF15:$EF$200,EF14)=0),MAX($EE$3:EE13)+1,0)</f>
        <v>0</v>
      </c>
      <c r="FH14" s="66" t="str">
        <f t="shared" si="2"/>
        <v/>
      </c>
      <c r="FK14" s="66" t="str">
        <f t="shared" si="3"/>
        <v/>
      </c>
    </row>
    <row r="15" spans="1:172" x14ac:dyDescent="0.25">
      <c r="S15" s="9"/>
      <c r="T15" s="9"/>
      <c r="AB15" s="9" t="s">
        <v>35</v>
      </c>
      <c r="AC15" s="9" t="s">
        <v>21</v>
      </c>
      <c r="AD15" s="64" t="s">
        <v>160</v>
      </c>
      <c r="AE15" s="64"/>
      <c r="AF15" s="64"/>
      <c r="AG15" s="64"/>
      <c r="AH15" s="64"/>
      <c r="AI15" s="64"/>
      <c r="AJ15" s="64"/>
      <c r="AK15" s="64"/>
      <c r="CC15" s="11"/>
      <c r="DU15" s="9" t="s">
        <v>181</v>
      </c>
      <c r="DV15" s="9">
        <v>120</v>
      </c>
      <c r="DW15" s="7">
        <v>120</v>
      </c>
      <c r="DX15" s="7" t="s">
        <v>231</v>
      </c>
      <c r="DY15" s="7">
        <v>0</v>
      </c>
      <c r="DZ15" s="7">
        <v>0</v>
      </c>
      <c r="EE15" s="77">
        <f>IF(AND(EF15&lt;&gt;"",EL15&lt;=$AB$4,COUNTIF(EF16:$EF$200,EF15)=0),MAX($EE$3:EE14)+1,0)</f>
        <v>0</v>
      </c>
      <c r="FH15" s="66" t="str">
        <f t="shared" si="2"/>
        <v/>
      </c>
      <c r="FK15" s="66" t="str">
        <f t="shared" si="3"/>
        <v/>
      </c>
    </row>
    <row r="16" spans="1:172" x14ac:dyDescent="0.25">
      <c r="S16" s="9"/>
      <c r="T16" s="9"/>
      <c r="AB16" s="60">
        <v>10987</v>
      </c>
      <c r="AC16" s="60">
        <v>8559</v>
      </c>
      <c r="AD16" s="60"/>
      <c r="AE16" s="64"/>
      <c r="AF16" s="64"/>
      <c r="AG16" s="64"/>
      <c r="AH16" s="64"/>
      <c r="AI16" s="64"/>
      <c r="AJ16" s="64"/>
      <c r="AK16" s="64"/>
      <c r="CC16" s="11"/>
      <c r="DU16" s="9" t="s">
        <v>182</v>
      </c>
      <c r="DV16" s="9">
        <v>0</v>
      </c>
      <c r="DW16" s="7">
        <v>0</v>
      </c>
      <c r="DX16" s="7" t="s">
        <v>232</v>
      </c>
      <c r="DY16" s="7">
        <v>0</v>
      </c>
      <c r="DZ16" s="7">
        <v>0</v>
      </c>
      <c r="EE16" s="77">
        <f>IF(AND(EF16&lt;&gt;"",EL16&lt;=$AB$4,COUNTIF(EF17:$EF$200,EF16)=0),MAX($EE$3:EE15)+1,0)</f>
        <v>0</v>
      </c>
      <c r="FH16" s="66" t="str">
        <f t="shared" si="2"/>
        <v/>
      </c>
      <c r="FK16" s="66" t="str">
        <f t="shared" si="3"/>
        <v/>
      </c>
    </row>
    <row r="17" spans="28:167" x14ac:dyDescent="0.25">
      <c r="CC17" s="11"/>
      <c r="DU17" s="9" t="s">
        <v>183</v>
      </c>
      <c r="DV17" s="9">
        <v>0</v>
      </c>
      <c r="DW17" s="7">
        <v>0</v>
      </c>
      <c r="DX17" s="7" t="s">
        <v>231</v>
      </c>
      <c r="DY17" s="7">
        <v>0</v>
      </c>
      <c r="DZ17" s="7">
        <v>0</v>
      </c>
      <c r="EE17" s="77">
        <f>IF(AND(EF17&lt;&gt;"",EL17&lt;=$AB$4,COUNTIF(EF18:$EF$200,EF17)=0),MAX($EE$3:EE16)+1,0)</f>
        <v>0</v>
      </c>
      <c r="FH17" s="66" t="str">
        <f t="shared" si="2"/>
        <v/>
      </c>
      <c r="FK17" s="66" t="str">
        <f t="shared" si="3"/>
        <v/>
      </c>
    </row>
    <row r="18" spans="28:167" x14ac:dyDescent="0.25">
      <c r="CC18" s="11"/>
      <c r="DU18" s="9" t="s">
        <v>184</v>
      </c>
      <c r="DV18" s="9">
        <v>5000</v>
      </c>
      <c r="DW18" s="7">
        <v>5000</v>
      </c>
      <c r="DX18" s="7" t="s">
        <v>232</v>
      </c>
      <c r="DY18" s="7">
        <v>0</v>
      </c>
      <c r="DZ18" s="7">
        <v>0</v>
      </c>
      <c r="EE18" s="77">
        <f>IF(AND(EF18&lt;&gt;"",EL18&lt;=$AB$4,COUNTIF(EF19:$EF$200,EF18)=0),MAX($EE$3:EE17)+1,0)</f>
        <v>0</v>
      </c>
      <c r="FH18" s="66" t="str">
        <f t="shared" si="2"/>
        <v/>
      </c>
      <c r="FK18" s="66" t="str">
        <f t="shared" si="3"/>
        <v/>
      </c>
    </row>
    <row r="19" spans="28:167" x14ac:dyDescent="0.25">
      <c r="AB19" s="218" t="s">
        <v>90</v>
      </c>
      <c r="AC19" s="218"/>
      <c r="AD19" s="218"/>
      <c r="AE19" s="218"/>
      <c r="AF19" s="218"/>
      <c r="AG19" s="218"/>
      <c r="AH19" s="218"/>
      <c r="AI19" s="218"/>
      <c r="AJ19" s="218"/>
      <c r="AK19" s="218"/>
      <c r="CC19" s="11"/>
      <c r="DU19" s="9" t="s">
        <v>185</v>
      </c>
      <c r="DV19" s="9">
        <v>0</v>
      </c>
      <c r="DW19" s="7">
        <v>0</v>
      </c>
      <c r="EE19" s="77">
        <f>IF(AND(EF19&lt;&gt;"",EL19&lt;=$AB$4,COUNTIF(EF20:$EF$200,EF19)=0),MAX($EE$3:EE18)+1,0)</f>
        <v>0</v>
      </c>
      <c r="FH19" s="66" t="str">
        <f t="shared" si="2"/>
        <v/>
      </c>
      <c r="FK19" s="66" t="str">
        <f t="shared" si="3"/>
        <v/>
      </c>
    </row>
    <row r="20" spans="28:167" x14ac:dyDescent="0.25">
      <c r="AB20" s="8" t="s">
        <v>58</v>
      </c>
      <c r="AC20" s="9" t="s">
        <v>47</v>
      </c>
      <c r="AD20" s="9" t="s">
        <v>20</v>
      </c>
      <c r="AE20" s="9" t="s">
        <v>50</v>
      </c>
      <c r="AF20" s="9" t="s">
        <v>25</v>
      </c>
      <c r="AG20" s="9" t="s">
        <v>37</v>
      </c>
      <c r="AH20" s="9" t="s">
        <v>10</v>
      </c>
      <c r="AI20" s="9" t="s">
        <v>8</v>
      </c>
      <c r="AJ20" s="9" t="s">
        <v>5</v>
      </c>
      <c r="AK20" s="9" t="s">
        <v>12</v>
      </c>
      <c r="CC20" s="11"/>
      <c r="DU20" s="9" t="s">
        <v>186</v>
      </c>
      <c r="DV20" s="9">
        <v>0</v>
      </c>
      <c r="DW20" s="7">
        <v>0</v>
      </c>
      <c r="EE20" s="77">
        <f>IF(AND(EF20&lt;&gt;"",EL20&lt;=$AB$4,COUNTIF(EF21:$EF$200,EF20)=0),MAX($EE$3:EE19)+1,0)</f>
        <v>0</v>
      </c>
      <c r="FH20" s="66" t="str">
        <f t="shared" si="2"/>
        <v/>
      </c>
      <c r="FK20" s="66" t="str">
        <f t="shared" si="3"/>
        <v/>
      </c>
    </row>
    <row r="21" spans="28:167" x14ac:dyDescent="0.25"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CC21" s="11"/>
      <c r="DU21" s="9" t="s">
        <v>187</v>
      </c>
      <c r="DV21" s="9">
        <v>0</v>
      </c>
      <c r="DW21" s="7">
        <v>0</v>
      </c>
      <c r="EE21" s="77">
        <f>IF(AND(EF21&lt;&gt;"",EL21&lt;=$AB$4,COUNTIF(EF22:$EF$200,EF21)=0),MAX($EE$3:EE20)+1,0)</f>
        <v>0</v>
      </c>
      <c r="FH21" s="66" t="str">
        <f t="shared" si="2"/>
        <v/>
      </c>
      <c r="FK21" s="66" t="str">
        <f t="shared" si="3"/>
        <v/>
      </c>
    </row>
    <row r="22" spans="28:167" x14ac:dyDescent="0.25"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CC22" s="11"/>
      <c r="DU22" s="9" t="s">
        <v>188</v>
      </c>
      <c r="DV22" s="9">
        <v>0</v>
      </c>
      <c r="DW22" s="7">
        <v>0</v>
      </c>
      <c r="EE22" s="77">
        <f>IF(AND(EF22&lt;&gt;"",EL22&lt;=$AB$4,COUNTIF(EF23:$EF$200,EF22)=0),MAX($EE$3:EE21)+1,0)</f>
        <v>0</v>
      </c>
      <c r="FH22" s="66" t="str">
        <f t="shared" si="2"/>
        <v/>
      </c>
      <c r="FK22" s="66" t="str">
        <f t="shared" si="3"/>
        <v/>
      </c>
    </row>
    <row r="23" spans="28:167" x14ac:dyDescent="0.25">
      <c r="AB23" s="8"/>
      <c r="AC23" s="7"/>
      <c r="AD23" s="7"/>
      <c r="AE23" s="7"/>
      <c r="AF23" s="7"/>
      <c r="AG23" s="7"/>
      <c r="AH23" s="7"/>
      <c r="AI23" s="7"/>
      <c r="AJ23" s="7"/>
      <c r="AK23" s="7"/>
      <c r="CC23" s="11"/>
      <c r="DU23" s="9" t="s">
        <v>189</v>
      </c>
      <c r="DV23" s="9">
        <v>0</v>
      </c>
      <c r="DW23" s="7">
        <v>0</v>
      </c>
      <c r="EE23" s="77">
        <f>IF(AND(EF23&lt;&gt;"",EL23&lt;=$AB$4,COUNTIF(EF24:$EF$200,EF23)=0),MAX($EE$3:EE22)+1,0)</f>
        <v>0</v>
      </c>
      <c r="FH23" s="66" t="str">
        <f t="shared" si="2"/>
        <v/>
      </c>
      <c r="FK23" s="66" t="str">
        <f t="shared" si="3"/>
        <v/>
      </c>
    </row>
    <row r="24" spans="28:167" x14ac:dyDescent="0.25">
      <c r="AB24" s="9" t="s">
        <v>35</v>
      </c>
      <c r="AC24" s="9" t="s">
        <v>21</v>
      </c>
      <c r="AD24" s="95" t="s">
        <v>160</v>
      </c>
      <c r="AE24" s="64"/>
      <c r="AF24" s="64"/>
      <c r="AG24" s="64"/>
      <c r="AH24" s="64"/>
      <c r="AI24" s="64"/>
      <c r="AJ24" s="64"/>
      <c r="AK24" s="64"/>
      <c r="CC24" s="11"/>
      <c r="DU24" s="9" t="s">
        <v>190</v>
      </c>
      <c r="DV24" s="9">
        <v>0</v>
      </c>
      <c r="DW24" s="7">
        <v>0</v>
      </c>
      <c r="EE24" s="77">
        <f>IF(AND(EF24&lt;&gt;"",EL24&lt;=$AB$4,COUNTIF(EF25:$EF$200,EF24)=0),MAX($EE$3:EE23)+1,0)</f>
        <v>0</v>
      </c>
      <c r="FH24" s="66" t="str">
        <f t="shared" si="2"/>
        <v/>
      </c>
      <c r="FK24" s="66" t="str">
        <f t="shared" si="3"/>
        <v/>
      </c>
    </row>
    <row r="25" spans="28:167" x14ac:dyDescent="0.25">
      <c r="AB25" s="60"/>
      <c r="AC25" s="60"/>
      <c r="AD25" s="60"/>
      <c r="AE25" s="64"/>
      <c r="AF25" s="64"/>
      <c r="AG25" s="64"/>
      <c r="AH25" s="64"/>
      <c r="AI25" s="64"/>
      <c r="AJ25" s="64"/>
      <c r="AK25" s="64"/>
      <c r="DU25" s="9" t="s">
        <v>191</v>
      </c>
      <c r="DV25" s="9">
        <v>0</v>
      </c>
      <c r="DW25" s="7">
        <v>0</v>
      </c>
      <c r="EE25" s="77">
        <f>IF(AND(EF25&lt;&gt;"",EL25&lt;=$AB$4,COUNTIF(EF26:$EF$200,EF25)=0),MAX($EE$3:EE24)+1,0)</f>
        <v>0</v>
      </c>
      <c r="FH25" s="66" t="str">
        <f t="shared" si="2"/>
        <v/>
      </c>
      <c r="FK25" s="66" t="str">
        <f t="shared" si="3"/>
        <v/>
      </c>
    </row>
    <row r="26" spans="28:167" x14ac:dyDescent="0.25">
      <c r="DU26" s="9" t="s">
        <v>192</v>
      </c>
      <c r="DV26" s="9">
        <v>3185</v>
      </c>
      <c r="DW26" s="7">
        <v>3185</v>
      </c>
      <c r="EE26" s="77">
        <f>IF(AND(EF26&lt;&gt;"",EL26&lt;=$AB$4,COUNTIF(EF27:$EF$200,EF26)=0),MAX($EE$3:EE25)+1,0)</f>
        <v>0</v>
      </c>
      <c r="FH26" s="66" t="str">
        <f t="shared" si="2"/>
        <v/>
      </c>
      <c r="FK26" s="66" t="str">
        <f t="shared" si="3"/>
        <v/>
      </c>
    </row>
    <row r="27" spans="28:167" x14ac:dyDescent="0.25">
      <c r="CC27" s="11"/>
      <c r="DU27" s="9" t="s">
        <v>192</v>
      </c>
      <c r="DV27" s="9">
        <v>0</v>
      </c>
      <c r="DW27" s="7">
        <v>0</v>
      </c>
      <c r="EE27" s="77">
        <f>IF(AND(EF27&lt;&gt;"",EL27&lt;=$AB$4,COUNTIF(EF28:$EF$200,EF27)=0),MAX($EE$3:EE26)+1,0)</f>
        <v>0</v>
      </c>
      <c r="FH27" s="66" t="str">
        <f t="shared" si="2"/>
        <v/>
      </c>
      <c r="FK27" s="66" t="str">
        <f t="shared" si="3"/>
        <v/>
      </c>
    </row>
    <row r="28" spans="28:167" x14ac:dyDescent="0.25">
      <c r="AB28" s="218" t="s">
        <v>91</v>
      </c>
      <c r="AC28" s="218"/>
      <c r="AD28" s="218"/>
      <c r="AE28" s="218"/>
      <c r="AF28" s="218"/>
      <c r="AG28" s="218"/>
      <c r="AH28" s="218"/>
      <c r="AI28" s="218"/>
      <c r="AJ28" s="218"/>
      <c r="AK28" s="218"/>
      <c r="CC28" s="11"/>
      <c r="DU28" s="9" t="s">
        <v>193</v>
      </c>
      <c r="DV28" s="9">
        <v>0</v>
      </c>
      <c r="DW28" s="7">
        <v>0</v>
      </c>
      <c r="EE28" s="77">
        <f>IF(AND(EF28&lt;&gt;"",EL28&lt;=$AB$4,COUNTIF(EF29:$EF$200,EF28)=0),MAX($EE$3:EE27)+1,0)</f>
        <v>0</v>
      </c>
      <c r="FH28" s="66" t="str">
        <f t="shared" si="2"/>
        <v/>
      </c>
      <c r="FK28" s="66" t="str">
        <f t="shared" si="3"/>
        <v/>
      </c>
    </row>
    <row r="29" spans="28:167" x14ac:dyDescent="0.25">
      <c r="AB29" s="8" t="s">
        <v>58</v>
      </c>
      <c r="AC29" s="9" t="s">
        <v>47</v>
      </c>
      <c r="AD29" s="9" t="s">
        <v>20</v>
      </c>
      <c r="AE29" s="9" t="s">
        <v>50</v>
      </c>
      <c r="AF29" s="9" t="s">
        <v>25</v>
      </c>
      <c r="AG29" s="9" t="s">
        <v>37</v>
      </c>
      <c r="AH29" s="9" t="s">
        <v>10</v>
      </c>
      <c r="AI29" s="9" t="s">
        <v>8</v>
      </c>
      <c r="AJ29" s="9" t="s">
        <v>5</v>
      </c>
      <c r="AK29" s="9" t="s">
        <v>12</v>
      </c>
      <c r="CC29" s="11"/>
      <c r="DU29" s="9" t="s">
        <v>194</v>
      </c>
      <c r="DV29" s="9">
        <v>0</v>
      </c>
      <c r="DW29" s="7">
        <v>0</v>
      </c>
      <c r="EE29" s="77">
        <f>IF(AND(EF29&lt;&gt;"",EL29&lt;=$AB$4,COUNTIF(EF30:$EF$200,EF29)=0),MAX($EE$3:EE28)+1,0)</f>
        <v>0</v>
      </c>
      <c r="FH29" s="66" t="str">
        <f t="shared" si="2"/>
        <v/>
      </c>
      <c r="FK29" s="66" t="str">
        <f t="shared" si="3"/>
        <v/>
      </c>
    </row>
    <row r="30" spans="28:167" x14ac:dyDescent="0.25"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CC30" s="11"/>
      <c r="DU30" s="9" t="s">
        <v>195</v>
      </c>
      <c r="DV30" s="9">
        <v>0</v>
      </c>
      <c r="DW30" s="7">
        <v>0</v>
      </c>
      <c r="EE30" s="77">
        <f>IF(AND(EF30&lt;&gt;"",EL30&lt;=$AB$4,COUNTIF(EF31:$EF$200,EF30)=0),MAX($EE$3:EE29)+1,0)</f>
        <v>0</v>
      </c>
      <c r="FH30" s="66" t="str">
        <f t="shared" si="2"/>
        <v/>
      </c>
      <c r="FK30" s="66" t="str">
        <f t="shared" si="3"/>
        <v/>
      </c>
    </row>
    <row r="31" spans="28:167" x14ac:dyDescent="0.25"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CC31" s="11"/>
      <c r="DU31" s="9" t="s">
        <v>196</v>
      </c>
      <c r="DV31" s="9">
        <v>0</v>
      </c>
      <c r="DW31" s="7">
        <v>0</v>
      </c>
      <c r="EE31" s="77">
        <f>IF(AND(EF31&lt;&gt;"",EL31&lt;=$AB$4,COUNTIF(EF32:$EF$200,EF31)=0),MAX($EE$3:EE30)+1,0)</f>
        <v>0</v>
      </c>
      <c r="FH31" s="66" t="str">
        <f t="shared" si="2"/>
        <v/>
      </c>
      <c r="FK31" s="66" t="str">
        <f t="shared" si="3"/>
        <v/>
      </c>
    </row>
    <row r="32" spans="28:167" x14ac:dyDescent="0.25">
      <c r="AB32" s="8"/>
      <c r="AC32" s="7"/>
      <c r="AD32" s="7"/>
      <c r="AE32" s="7"/>
      <c r="AF32" s="7"/>
      <c r="AG32" s="7"/>
      <c r="AH32" s="7"/>
      <c r="AI32" s="7"/>
      <c r="AJ32" s="7"/>
      <c r="AK32" s="7"/>
      <c r="CC32" s="11"/>
      <c r="DU32" s="9" t="s">
        <v>197</v>
      </c>
      <c r="DV32" s="9">
        <v>0</v>
      </c>
      <c r="DW32" s="7">
        <v>0</v>
      </c>
      <c r="EE32" s="77">
        <f>IF(AND(EF32&lt;&gt;"",EL32&lt;=$AB$4,COUNTIF(EF33:$EF$200,EF32)=0),MAX($EE$3:EE31)+1,0)</f>
        <v>0</v>
      </c>
      <c r="FH32" s="66" t="str">
        <f t="shared" si="2"/>
        <v/>
      </c>
      <c r="FK32" s="66" t="str">
        <f t="shared" si="3"/>
        <v/>
      </c>
    </row>
    <row r="33" spans="28:167" x14ac:dyDescent="0.25">
      <c r="AB33" s="9" t="s">
        <v>35</v>
      </c>
      <c r="AC33" s="9" t="s">
        <v>21</v>
      </c>
      <c r="AD33" s="95" t="s">
        <v>160</v>
      </c>
      <c r="AE33" s="64"/>
      <c r="AF33" s="64"/>
      <c r="AG33" s="64"/>
      <c r="AH33" s="64"/>
      <c r="AI33" s="64"/>
      <c r="AJ33" s="64"/>
      <c r="AK33" s="64"/>
      <c r="CC33" s="11"/>
      <c r="DU33" s="9" t="s">
        <v>198</v>
      </c>
      <c r="DV33" s="9">
        <v>600</v>
      </c>
      <c r="DW33" s="7">
        <v>600</v>
      </c>
      <c r="EE33" s="77">
        <f>IF(AND(EF33&lt;&gt;"",EL33&lt;=$AB$4,COUNTIF(EF34:$EF$200,EF33)=0),MAX($EE$3:EE32)+1,0)</f>
        <v>0</v>
      </c>
      <c r="FH33" s="66" t="str">
        <f t="shared" si="2"/>
        <v/>
      </c>
      <c r="FK33" s="66" t="str">
        <f t="shared" si="3"/>
        <v/>
      </c>
    </row>
    <row r="34" spans="28:167" x14ac:dyDescent="0.25">
      <c r="AB34" s="60"/>
      <c r="AC34" s="60"/>
      <c r="AD34" s="60"/>
      <c r="AE34" s="64"/>
      <c r="AF34" s="64"/>
      <c r="AG34" s="64"/>
      <c r="AH34" s="64"/>
      <c r="AI34" s="64"/>
      <c r="AJ34" s="64"/>
      <c r="AK34" s="64"/>
      <c r="CC34" s="11"/>
      <c r="DU34" s="9" t="s">
        <v>199</v>
      </c>
      <c r="DV34" s="9">
        <v>0</v>
      </c>
      <c r="DW34" s="7">
        <v>0</v>
      </c>
      <c r="EE34" s="77">
        <f>IF(AND(EF34&lt;&gt;"",EL34&lt;=$AB$4,COUNTIF(EF35:$EF$200,EF34)=0),MAX($EE$3:EE33)+1,0)</f>
        <v>0</v>
      </c>
      <c r="FH34" s="66" t="str">
        <f t="shared" si="2"/>
        <v/>
      </c>
      <c r="FK34" s="66" t="str">
        <f t="shared" si="3"/>
        <v/>
      </c>
    </row>
    <row r="35" spans="28:167" x14ac:dyDescent="0.25">
      <c r="DU35" s="9" t="s">
        <v>200</v>
      </c>
      <c r="DV35" s="9">
        <v>0</v>
      </c>
      <c r="DW35" s="7">
        <v>0</v>
      </c>
      <c r="EE35" s="77">
        <f>IF(AND(EF35&lt;&gt;"",EL35&lt;=$AB$4,COUNTIF(EF36:$EF$200,EF35)=0),MAX($EE$3:EE34)+1,0)</f>
        <v>0</v>
      </c>
      <c r="FH35" s="66" t="str">
        <f t="shared" si="2"/>
        <v/>
      </c>
      <c r="FK35" s="66" t="str">
        <f t="shared" si="3"/>
        <v/>
      </c>
    </row>
    <row r="36" spans="28:167" x14ac:dyDescent="0.25">
      <c r="DU36" s="9" t="s">
        <v>201</v>
      </c>
      <c r="DV36" s="9">
        <v>0</v>
      </c>
      <c r="DW36" s="7">
        <v>0</v>
      </c>
      <c r="EE36" s="77">
        <f>IF(AND(EF36&lt;&gt;"",EL36&lt;=$AB$4,COUNTIF(EF37:$EF$200,EF36)=0),MAX($EE$3:EE35)+1,0)</f>
        <v>0</v>
      </c>
      <c r="FH36" s="66" t="str">
        <f t="shared" ref="FH36:FH67" si="5">IF(FD36&lt;&gt;"",CONCATENATE(FF36," / ",FI36),"")</f>
        <v/>
      </c>
      <c r="FK36" s="66" t="str">
        <f t="shared" ref="FK36:FK67" si="6">IF(FD36&lt;&gt;"",CONCATENATE(FG36," / ",FJ36),"")</f>
        <v/>
      </c>
    </row>
    <row r="37" spans="28:167" x14ac:dyDescent="0.25">
      <c r="DU37" s="9" t="s">
        <v>202</v>
      </c>
      <c r="DV37" s="9">
        <v>0</v>
      </c>
      <c r="DW37" s="7">
        <v>0</v>
      </c>
      <c r="EE37" s="77">
        <f>IF(AND(EF37&lt;&gt;"",EL37&lt;=$AB$4,COUNTIF(EF38:$EF$200,EF37)=0),MAX($EE$3:EE36)+1,0)</f>
        <v>0</v>
      </c>
      <c r="FH37" s="66" t="str">
        <f t="shared" si="5"/>
        <v/>
      </c>
      <c r="FK37" s="66" t="str">
        <f t="shared" si="6"/>
        <v/>
      </c>
    </row>
    <row r="38" spans="28:167" x14ac:dyDescent="0.25">
      <c r="DU38" s="9" t="s">
        <v>203</v>
      </c>
      <c r="DV38" s="9">
        <v>0</v>
      </c>
      <c r="DW38" s="7">
        <v>0</v>
      </c>
      <c r="EE38" s="77">
        <f>IF(AND(EF38&lt;&gt;"",EL38&lt;=$AB$4,COUNTIF(EF39:$EF$200,EF38)=0),MAX($EE$3:EE37)+1,0)</f>
        <v>0</v>
      </c>
      <c r="FH38" s="66" t="str">
        <f t="shared" si="5"/>
        <v/>
      </c>
      <c r="FK38" s="66" t="str">
        <f t="shared" si="6"/>
        <v/>
      </c>
    </row>
    <row r="39" spans="28:167" x14ac:dyDescent="0.25">
      <c r="DU39" s="9" t="s">
        <v>204</v>
      </c>
      <c r="DV39" s="9">
        <v>0</v>
      </c>
      <c r="DW39" s="7">
        <v>0</v>
      </c>
      <c r="EE39" s="77">
        <f>IF(AND(EF39&lt;&gt;"",EL39&lt;=$AB$4,COUNTIF(EF40:$EF$200,EF39)=0),MAX($EE$3:EE38)+1,0)</f>
        <v>0</v>
      </c>
      <c r="FH39" s="66" t="str">
        <f t="shared" si="5"/>
        <v/>
      </c>
      <c r="FK39" s="66" t="str">
        <f t="shared" si="6"/>
        <v/>
      </c>
    </row>
    <row r="40" spans="28:167" x14ac:dyDescent="0.25">
      <c r="DU40" s="9" t="s">
        <v>203</v>
      </c>
      <c r="DV40" s="9">
        <v>0</v>
      </c>
      <c r="DW40" s="7">
        <v>0</v>
      </c>
      <c r="EE40" s="77">
        <f>IF(AND(EF40&lt;&gt;"",EL40&lt;=$AB$4,COUNTIF(EF41:$EF$200,EF40)=0),MAX($EE$3:EE39)+1,0)</f>
        <v>0</v>
      </c>
      <c r="FH40" s="66" t="str">
        <f t="shared" si="5"/>
        <v/>
      </c>
      <c r="FK40" s="66" t="str">
        <f t="shared" si="6"/>
        <v/>
      </c>
    </row>
    <row r="41" spans="28:167" x14ac:dyDescent="0.25">
      <c r="DU41" s="9" t="s">
        <v>205</v>
      </c>
      <c r="DV41" s="9">
        <v>0</v>
      </c>
      <c r="DW41" s="7">
        <v>0</v>
      </c>
      <c r="EE41" s="77">
        <f>IF(AND(EF41&lt;&gt;"",EL41&lt;=$AB$4,COUNTIF(EF42:$EF$200,EF41)=0),MAX($EE$3:EE40)+1,0)</f>
        <v>0</v>
      </c>
      <c r="FH41" s="66" t="str">
        <f t="shared" si="5"/>
        <v/>
      </c>
      <c r="FK41" s="66" t="str">
        <f t="shared" si="6"/>
        <v/>
      </c>
    </row>
    <row r="42" spans="28:167" x14ac:dyDescent="0.25">
      <c r="DU42" s="9" t="s">
        <v>206</v>
      </c>
      <c r="DV42" s="9">
        <v>0</v>
      </c>
      <c r="DW42" s="7">
        <v>0</v>
      </c>
      <c r="EE42" s="77">
        <f>IF(AND(EF42&lt;&gt;"",EL42&lt;=$AB$4,COUNTIF(EF43:$EF$200,EF42)=0),MAX($EE$3:EE41)+1,0)</f>
        <v>0</v>
      </c>
      <c r="FH42" s="66" t="str">
        <f t="shared" si="5"/>
        <v/>
      </c>
      <c r="FK42" s="66" t="str">
        <f t="shared" si="6"/>
        <v/>
      </c>
    </row>
    <row r="43" spans="28:167" x14ac:dyDescent="0.25">
      <c r="DU43" s="9" t="s">
        <v>207</v>
      </c>
      <c r="DV43" s="9">
        <v>0</v>
      </c>
      <c r="DW43" s="7">
        <v>0</v>
      </c>
      <c r="EE43" s="77">
        <f>IF(AND(EF43&lt;&gt;"",EL43&lt;=$AB$4,COUNTIF(EF44:$EF$200,EF43)=0),MAX($EE$3:EE42)+1,0)</f>
        <v>0</v>
      </c>
      <c r="FH43" s="66" t="str">
        <f t="shared" si="5"/>
        <v/>
      </c>
      <c r="FK43" s="66" t="str">
        <f t="shared" si="6"/>
        <v/>
      </c>
    </row>
    <row r="44" spans="28:167" x14ac:dyDescent="0.25">
      <c r="DU44" s="9" t="s">
        <v>208</v>
      </c>
      <c r="DV44" s="9">
        <v>0</v>
      </c>
      <c r="DW44" s="7">
        <v>0</v>
      </c>
      <c r="EE44" s="77">
        <f>IF(AND(EF44&lt;&gt;"",EL44&lt;=$AB$4,COUNTIF(EF45:$EF$200,EF44)=0),MAX($EE$3:EE43)+1,0)</f>
        <v>0</v>
      </c>
      <c r="FH44" s="66" t="str">
        <f t="shared" si="5"/>
        <v/>
      </c>
      <c r="FK44" s="66" t="str">
        <f t="shared" si="6"/>
        <v/>
      </c>
    </row>
    <row r="45" spans="28:167" x14ac:dyDescent="0.25">
      <c r="DU45" s="9" t="s">
        <v>209</v>
      </c>
      <c r="DV45" s="9">
        <v>0</v>
      </c>
      <c r="DW45" s="7">
        <v>0</v>
      </c>
      <c r="EE45" s="77">
        <f>IF(AND(EF45&lt;&gt;"",EL45&lt;=$AB$4,COUNTIF(EF46:$EF$200,EF45)=0),MAX($EE$3:EE44)+1,0)</f>
        <v>0</v>
      </c>
      <c r="FH45" s="66" t="str">
        <f t="shared" si="5"/>
        <v/>
      </c>
      <c r="FK45" s="66" t="str">
        <f t="shared" si="6"/>
        <v/>
      </c>
    </row>
    <row r="46" spans="28:167" x14ac:dyDescent="0.25">
      <c r="DU46" s="9" t="s">
        <v>210</v>
      </c>
      <c r="DV46" s="9">
        <v>0</v>
      </c>
      <c r="DW46" s="7">
        <v>0</v>
      </c>
      <c r="EE46" s="77">
        <f>IF(AND(EF46&lt;&gt;"",EL46&lt;=$AB$4,COUNTIF(EF47:$EF$200,EF46)=0),MAX($EE$3:EE45)+1,0)</f>
        <v>0</v>
      </c>
      <c r="FH46" s="66" t="str">
        <f t="shared" si="5"/>
        <v/>
      </c>
      <c r="FK46" s="66" t="str">
        <f t="shared" si="6"/>
        <v/>
      </c>
    </row>
    <row r="47" spans="28:167" x14ac:dyDescent="0.25">
      <c r="DU47" s="9" t="s">
        <v>211</v>
      </c>
      <c r="DV47" s="9">
        <v>0</v>
      </c>
      <c r="DW47" s="7">
        <v>0</v>
      </c>
      <c r="EE47" s="77">
        <f>IF(AND(EF47&lt;&gt;"",EL47&lt;=$AB$4,COUNTIF(EF48:$EF$200,EF47)=0),MAX($EE$3:EE46)+1,0)</f>
        <v>0</v>
      </c>
      <c r="FH47" s="66" t="str">
        <f t="shared" si="5"/>
        <v/>
      </c>
      <c r="FK47" s="66" t="str">
        <f t="shared" si="6"/>
        <v/>
      </c>
    </row>
    <row r="48" spans="28:167" x14ac:dyDescent="0.25">
      <c r="DU48" s="9" t="s">
        <v>210</v>
      </c>
      <c r="DV48" s="9">
        <v>0</v>
      </c>
      <c r="DW48" s="7">
        <v>0</v>
      </c>
      <c r="EE48" s="77">
        <f>IF(AND(EF48&lt;&gt;"",EL48&lt;=$AB$4,COUNTIF(EF49:$EF$200,EF48)=0),MAX($EE$3:EE47)+1,0)</f>
        <v>0</v>
      </c>
      <c r="FH48" s="66" t="str">
        <f t="shared" si="5"/>
        <v/>
      </c>
      <c r="FK48" s="66" t="str">
        <f t="shared" si="6"/>
        <v/>
      </c>
    </row>
    <row r="49" spans="125:167" x14ac:dyDescent="0.25">
      <c r="DU49" s="9" t="s">
        <v>212</v>
      </c>
      <c r="DV49" s="9">
        <v>0</v>
      </c>
      <c r="DW49" s="7">
        <v>0</v>
      </c>
      <c r="EE49" s="77">
        <f>IF(AND(EF49&lt;&gt;"",EL49&lt;=$AB$4,COUNTIF(EF50:$EF$200,EF49)=0),MAX($EE$3:EE48)+1,0)</f>
        <v>0</v>
      </c>
      <c r="FH49" s="66" t="str">
        <f t="shared" si="5"/>
        <v/>
      </c>
      <c r="FK49" s="66" t="str">
        <f t="shared" si="6"/>
        <v/>
      </c>
    </row>
    <row r="50" spans="125:167" x14ac:dyDescent="0.25">
      <c r="DU50" s="9" t="s">
        <v>213</v>
      </c>
      <c r="DV50" s="9">
        <v>0</v>
      </c>
      <c r="DW50" s="7">
        <v>0</v>
      </c>
      <c r="EE50" s="77">
        <f>IF(AND(EF50&lt;&gt;"",EL50&lt;=$AB$4,COUNTIF(EF51:$EF$200,EF50)=0),MAX($EE$3:EE49)+1,0)</f>
        <v>0</v>
      </c>
      <c r="FH50" s="66" t="str">
        <f t="shared" si="5"/>
        <v/>
      </c>
      <c r="FK50" s="66" t="str">
        <f t="shared" si="6"/>
        <v/>
      </c>
    </row>
    <row r="51" spans="125:167" x14ac:dyDescent="0.25">
      <c r="DU51" s="9" t="s">
        <v>214</v>
      </c>
      <c r="DV51" s="9">
        <v>0</v>
      </c>
      <c r="DW51" s="7">
        <v>0</v>
      </c>
      <c r="EE51" s="77">
        <f>IF(AND(EF51&lt;&gt;"",EL51&lt;=$AB$4,COUNTIF(EF52:$EF$200,EF51)=0),MAX($EE$3:EE50)+1,0)</f>
        <v>0</v>
      </c>
      <c r="FH51" s="66" t="str">
        <f t="shared" si="5"/>
        <v/>
      </c>
      <c r="FK51" s="66" t="str">
        <f t="shared" si="6"/>
        <v/>
      </c>
    </row>
    <row r="52" spans="125:167" x14ac:dyDescent="0.25">
      <c r="DU52" s="9" t="s">
        <v>215</v>
      </c>
      <c r="DV52" s="9">
        <v>0</v>
      </c>
      <c r="DW52" s="7">
        <v>0</v>
      </c>
      <c r="EE52" s="77">
        <f>IF(AND(EF52&lt;&gt;"",EL52&lt;=$AB$4,COUNTIF(EF53:$EF$200,EF52)=0),MAX($EE$3:EE51)+1,0)</f>
        <v>0</v>
      </c>
      <c r="FH52" s="66" t="str">
        <f t="shared" si="5"/>
        <v/>
      </c>
      <c r="FK52" s="66" t="str">
        <f t="shared" si="6"/>
        <v/>
      </c>
    </row>
    <row r="53" spans="125:167" x14ac:dyDescent="0.25">
      <c r="DU53" s="9" t="s">
        <v>216</v>
      </c>
      <c r="DV53" s="9">
        <v>0</v>
      </c>
      <c r="DW53" s="7">
        <v>0</v>
      </c>
      <c r="EE53" s="77">
        <f>IF(AND(EF53&lt;&gt;"",EL53&lt;=$AB$4,COUNTIF(EF54:$EF$200,EF53)=0),MAX($EE$3:EE52)+1,0)</f>
        <v>0</v>
      </c>
      <c r="FH53" s="66" t="str">
        <f t="shared" si="5"/>
        <v/>
      </c>
      <c r="FK53" s="66" t="str">
        <f t="shared" si="6"/>
        <v/>
      </c>
    </row>
    <row r="54" spans="125:167" x14ac:dyDescent="0.25">
      <c r="DU54" s="9" t="s">
        <v>217</v>
      </c>
      <c r="DV54" s="9">
        <v>2840</v>
      </c>
      <c r="DW54" s="7">
        <v>2840</v>
      </c>
      <c r="EE54" s="77">
        <f>IF(AND(EF54&lt;&gt;"",EL54&lt;=$AB$4,COUNTIF(EF55:$EF$200,EF54)=0),MAX($EE$3:EE53)+1,0)</f>
        <v>0</v>
      </c>
      <c r="FH54" s="66" t="str">
        <f t="shared" si="5"/>
        <v/>
      </c>
      <c r="FK54" s="66" t="str">
        <f t="shared" si="6"/>
        <v/>
      </c>
    </row>
    <row r="55" spans="125:167" x14ac:dyDescent="0.25">
      <c r="DU55" s="9" t="s">
        <v>218</v>
      </c>
      <c r="DV55" s="9">
        <v>0</v>
      </c>
      <c r="DW55" s="7">
        <v>0</v>
      </c>
      <c r="EE55" s="77">
        <f>IF(AND(EF55&lt;&gt;"",EL55&lt;=$AB$4,COUNTIF(EF56:$EF$200,EF55)=0),MAX($EE$3:EE54)+1,0)</f>
        <v>0</v>
      </c>
      <c r="FH55" s="66" t="str">
        <f t="shared" si="5"/>
        <v/>
      </c>
      <c r="FK55" s="66" t="str">
        <f t="shared" si="6"/>
        <v/>
      </c>
    </row>
    <row r="56" spans="125:167" x14ac:dyDescent="0.25">
      <c r="DU56" s="9" t="s">
        <v>219</v>
      </c>
      <c r="DV56" s="9">
        <v>0</v>
      </c>
      <c r="DW56" s="7">
        <v>0</v>
      </c>
      <c r="EE56" s="77">
        <f>IF(AND(EF56&lt;&gt;"",EL56&lt;=$AB$4,COUNTIF(EF57:$EF$200,EF56)=0),MAX($EE$3:EE55)+1,0)</f>
        <v>0</v>
      </c>
      <c r="FH56" s="66" t="str">
        <f t="shared" si="5"/>
        <v/>
      </c>
      <c r="FK56" s="66" t="str">
        <f t="shared" si="6"/>
        <v/>
      </c>
    </row>
    <row r="57" spans="125:167" x14ac:dyDescent="0.25">
      <c r="EE57" s="77">
        <f>IF(AND(EF57&lt;&gt;"",EL57&lt;=$AB$4,COUNTIF(EF58:$EF$200,EF57)=0),MAX($EE$3:EE56)+1,0)</f>
        <v>0</v>
      </c>
      <c r="FH57" s="66" t="str">
        <f t="shared" si="5"/>
        <v/>
      </c>
      <c r="FK57" s="66" t="str">
        <f t="shared" si="6"/>
        <v/>
      </c>
    </row>
    <row r="58" spans="125:167" x14ac:dyDescent="0.25">
      <c r="EE58" s="77">
        <f>IF(AND(EF58&lt;&gt;"",EL58&lt;=$AB$4,COUNTIF(EF59:$EF$200,EF58)=0),MAX($EE$3:EE57)+1,0)</f>
        <v>0</v>
      </c>
      <c r="FH58" s="66" t="str">
        <f t="shared" si="5"/>
        <v/>
      </c>
      <c r="FK58" s="66" t="str">
        <f t="shared" si="6"/>
        <v/>
      </c>
    </row>
    <row r="59" spans="125:167" x14ac:dyDescent="0.25">
      <c r="EE59" s="77">
        <f>IF(AND(EF59&lt;&gt;"",EL59&lt;=$AB$4,COUNTIF(EF60:$EF$200,EF59)=0),MAX($EE$3:EE58)+1,0)</f>
        <v>0</v>
      </c>
      <c r="FH59" s="66" t="str">
        <f t="shared" si="5"/>
        <v/>
      </c>
      <c r="FK59" s="66" t="str">
        <f t="shared" si="6"/>
        <v/>
      </c>
    </row>
    <row r="60" spans="125:167" x14ac:dyDescent="0.25">
      <c r="EE60" s="77">
        <f>IF(AND(EF60&lt;&gt;"",EL60&lt;=$AB$4,COUNTIF(EF61:$EF$200,EF60)=0),MAX($EE$3:EE59)+1,0)</f>
        <v>0</v>
      </c>
      <c r="FH60" s="66" t="str">
        <f t="shared" si="5"/>
        <v/>
      </c>
      <c r="FK60" s="66" t="str">
        <f t="shared" si="6"/>
        <v/>
      </c>
    </row>
    <row r="61" spans="125:167" x14ac:dyDescent="0.25">
      <c r="EE61" s="77">
        <f>IF(AND(EF61&lt;&gt;"",EL61&lt;=$AB$4,COUNTIF(EF62:$EF$200,EF61)=0),MAX($EE$3:EE60)+1,0)</f>
        <v>0</v>
      </c>
      <c r="FH61" s="66" t="str">
        <f t="shared" si="5"/>
        <v/>
      </c>
      <c r="FK61" s="66" t="str">
        <f t="shared" si="6"/>
        <v/>
      </c>
    </row>
    <row r="62" spans="125:167" x14ac:dyDescent="0.25">
      <c r="EE62" s="77">
        <f>IF(AND(EF62&lt;&gt;"",EL62&lt;=$AB$4,COUNTIF(EF63:$EF$200,EF62)=0),MAX($EE$3:EE61)+1,0)</f>
        <v>0</v>
      </c>
      <c r="FH62" s="66" t="str">
        <f t="shared" si="5"/>
        <v/>
      </c>
      <c r="FK62" s="66" t="str">
        <f t="shared" si="6"/>
        <v/>
      </c>
    </row>
    <row r="63" spans="125:167" x14ac:dyDescent="0.25">
      <c r="EE63" s="77">
        <f>IF(AND(EF63&lt;&gt;"",EL63&lt;=$AB$4,COUNTIF(EF64:$EF$200,EF63)=0),MAX($EE$3:EE62)+1,0)</f>
        <v>0</v>
      </c>
      <c r="FH63" s="66" t="str">
        <f t="shared" si="5"/>
        <v/>
      </c>
      <c r="FK63" s="66" t="str">
        <f t="shared" si="6"/>
        <v/>
      </c>
    </row>
    <row r="64" spans="125:167" x14ac:dyDescent="0.25">
      <c r="EE64" s="77">
        <f>IF(AND(EF64&lt;&gt;"",EL64&lt;=$AB$4,COUNTIF(EF65:$EF$200,EF64)=0),MAX($EE$3:EE63)+1,0)</f>
        <v>0</v>
      </c>
      <c r="FH64" s="66" t="str">
        <f t="shared" si="5"/>
        <v/>
      </c>
      <c r="FK64" s="66" t="str">
        <f t="shared" si="6"/>
        <v/>
      </c>
    </row>
    <row r="65" spans="135:167" x14ac:dyDescent="0.25">
      <c r="EE65" s="77">
        <f>IF(AND(EF65&lt;&gt;"",EL65&lt;=$AB$4,COUNTIF(EF66:$EF$200,EF65)=0),MAX($EE$3:EE64)+1,0)</f>
        <v>0</v>
      </c>
      <c r="FH65" s="66" t="str">
        <f t="shared" si="5"/>
        <v/>
      </c>
      <c r="FK65" s="66" t="str">
        <f t="shared" si="6"/>
        <v/>
      </c>
    </row>
    <row r="66" spans="135:167" x14ac:dyDescent="0.25">
      <c r="EE66" s="77">
        <f>IF(AND(EF66&lt;&gt;"",EL66&lt;=$AB$4,COUNTIF(EF67:$EF$200,EF66)=0),MAX($EE$3:EE65)+1,0)</f>
        <v>0</v>
      </c>
      <c r="FH66" s="66" t="str">
        <f t="shared" si="5"/>
        <v/>
      </c>
      <c r="FK66" s="66" t="str">
        <f t="shared" si="6"/>
        <v/>
      </c>
    </row>
    <row r="67" spans="135:167" x14ac:dyDescent="0.25">
      <c r="EE67" s="77">
        <f>IF(AND(EF67&lt;&gt;"",EL67&lt;=$AB$4,COUNTIF(EF68:$EF$200,EF67)=0),MAX($EE$3:EE66)+1,0)</f>
        <v>0</v>
      </c>
      <c r="FH67" s="66" t="str">
        <f t="shared" si="5"/>
        <v/>
      </c>
      <c r="FK67" s="66" t="str">
        <f t="shared" si="6"/>
        <v/>
      </c>
    </row>
    <row r="68" spans="135:167" x14ac:dyDescent="0.25">
      <c r="EE68" s="77">
        <f>IF(AND(EF68&lt;&gt;"",EL68&lt;=$AB$4,COUNTIF(EF69:$EF$200,EF68)=0),MAX($EE$3:EE67)+1,0)</f>
        <v>0</v>
      </c>
      <c r="FH68" s="66" t="str">
        <f t="shared" ref="FH68:FH99" si="7">IF(FD68&lt;&gt;"",CONCATENATE(FF68," / ",FI68),"")</f>
        <v/>
      </c>
      <c r="FK68" s="66" t="str">
        <f t="shared" ref="FK68:FK99" si="8">IF(FD68&lt;&gt;"",CONCATENATE(FG68," / ",FJ68),"")</f>
        <v/>
      </c>
    </row>
    <row r="69" spans="135:167" x14ac:dyDescent="0.25">
      <c r="EE69" s="77">
        <f>IF(AND(EF69&lt;&gt;"",EL69&lt;=$AB$4,COUNTIF(EF70:$EF$200,EF69)=0),MAX($EE$3:EE68)+1,0)</f>
        <v>0</v>
      </c>
      <c r="FH69" s="66" t="str">
        <f t="shared" si="7"/>
        <v/>
      </c>
      <c r="FK69" s="66" t="str">
        <f t="shared" si="8"/>
        <v/>
      </c>
    </row>
    <row r="70" spans="135:167" x14ac:dyDescent="0.25">
      <c r="EE70" s="77">
        <f>IF(AND(EF70&lt;&gt;"",EL70&lt;=$AB$4,COUNTIF(EF71:$EF$200,EF70)=0),MAX($EE$3:EE69)+1,0)</f>
        <v>0</v>
      </c>
      <c r="FH70" s="66" t="str">
        <f t="shared" si="7"/>
        <v/>
      </c>
      <c r="FK70" s="66" t="str">
        <f t="shared" si="8"/>
        <v/>
      </c>
    </row>
    <row r="71" spans="135:167" x14ac:dyDescent="0.25">
      <c r="EE71" s="77">
        <f>IF(AND(EF71&lt;&gt;"",EL71&lt;=$AB$4,COUNTIF(EF72:$EF$200,EF71)=0),MAX($EE$3:EE70)+1,0)</f>
        <v>0</v>
      </c>
      <c r="FH71" s="66" t="str">
        <f t="shared" si="7"/>
        <v/>
      </c>
      <c r="FK71" s="66" t="str">
        <f t="shared" si="8"/>
        <v/>
      </c>
    </row>
    <row r="72" spans="135:167" x14ac:dyDescent="0.25">
      <c r="EE72" s="77">
        <f>IF(AND(EF72&lt;&gt;"",EL72&lt;=$AB$4,COUNTIF(EF73:$EF$200,EF72)=0),MAX($EE$3:EE71)+1,0)</f>
        <v>0</v>
      </c>
      <c r="FH72" s="66" t="str">
        <f t="shared" si="7"/>
        <v/>
      </c>
      <c r="FK72" s="66" t="str">
        <f t="shared" si="8"/>
        <v/>
      </c>
    </row>
    <row r="73" spans="135:167" x14ac:dyDescent="0.25">
      <c r="EE73" s="77">
        <f>IF(AND(EF73&lt;&gt;"",EL73&lt;=$AB$4,COUNTIF(EF74:$EF$200,EF73)=0),MAX($EE$3:EE72)+1,0)</f>
        <v>0</v>
      </c>
      <c r="FH73" s="66" t="str">
        <f t="shared" si="7"/>
        <v/>
      </c>
      <c r="FK73" s="66" t="str">
        <f t="shared" si="8"/>
        <v/>
      </c>
    </row>
    <row r="74" spans="135:167" x14ac:dyDescent="0.25">
      <c r="EE74" s="77">
        <f>IF(AND(EF74&lt;&gt;"",EL74&lt;=$AB$4,COUNTIF(EF75:$EF$200,EF74)=0),MAX($EE$3:EE73)+1,0)</f>
        <v>0</v>
      </c>
      <c r="FH74" s="66" t="str">
        <f t="shared" si="7"/>
        <v/>
      </c>
      <c r="FK74" s="66" t="str">
        <f t="shared" si="8"/>
        <v/>
      </c>
    </row>
    <row r="75" spans="135:167" x14ac:dyDescent="0.25">
      <c r="EE75" s="77">
        <f>IF(AND(EF75&lt;&gt;"",EL75&lt;=$AB$4,COUNTIF(EF76:$EF$200,EF75)=0),MAX($EE$3:EE74)+1,0)</f>
        <v>0</v>
      </c>
      <c r="FH75" s="66" t="str">
        <f t="shared" si="7"/>
        <v/>
      </c>
      <c r="FK75" s="66" t="str">
        <f t="shared" si="8"/>
        <v/>
      </c>
    </row>
    <row r="76" spans="135:167" x14ac:dyDescent="0.25">
      <c r="EE76" s="77">
        <f>IF(AND(EF76&lt;&gt;"",EL76&lt;=$AB$4,COUNTIF(EF77:$EF$200,EF76)=0),MAX($EE$3:EE75)+1,0)</f>
        <v>0</v>
      </c>
      <c r="FH76" s="66" t="str">
        <f t="shared" si="7"/>
        <v/>
      </c>
      <c r="FK76" s="66" t="str">
        <f t="shared" si="8"/>
        <v/>
      </c>
    </row>
    <row r="77" spans="135:167" x14ac:dyDescent="0.25">
      <c r="EE77" s="77">
        <f>IF(AND(EF77&lt;&gt;"",EL77&lt;=$AB$4,COUNTIF(EF78:$EF$200,EF77)=0),MAX($EE$3:EE76)+1,0)</f>
        <v>0</v>
      </c>
      <c r="FH77" s="66" t="str">
        <f t="shared" si="7"/>
        <v/>
      </c>
      <c r="FK77" s="66" t="str">
        <f t="shared" si="8"/>
        <v/>
      </c>
    </row>
    <row r="78" spans="135:167" x14ac:dyDescent="0.25">
      <c r="EE78" s="77">
        <f>IF(AND(EF78&lt;&gt;"",EL78&lt;=$AB$4,COUNTIF(EF79:$EF$200,EF78)=0),MAX($EE$3:EE77)+1,0)</f>
        <v>0</v>
      </c>
      <c r="FH78" s="66" t="str">
        <f t="shared" si="7"/>
        <v/>
      </c>
      <c r="FK78" s="66" t="str">
        <f t="shared" si="8"/>
        <v/>
      </c>
    </row>
    <row r="79" spans="135:167" x14ac:dyDescent="0.25">
      <c r="EE79" s="77">
        <f>IF(AND(EF79&lt;&gt;"",EL79&lt;=$AB$4,COUNTIF(EF80:$EF$200,EF79)=0),MAX($EE$3:EE78)+1,0)</f>
        <v>0</v>
      </c>
      <c r="FH79" s="66" t="str">
        <f t="shared" si="7"/>
        <v/>
      </c>
      <c r="FK79" s="66" t="str">
        <f t="shared" si="8"/>
        <v/>
      </c>
    </row>
    <row r="80" spans="135:167" x14ac:dyDescent="0.25">
      <c r="EE80" s="77">
        <f>IF(AND(EF80&lt;&gt;"",EL80&lt;=$AB$4,COUNTIF(EF81:$EF$200,EF80)=0),MAX($EE$3:EE79)+1,0)</f>
        <v>0</v>
      </c>
      <c r="FH80" s="66" t="str">
        <f t="shared" si="7"/>
        <v/>
      </c>
      <c r="FK80" s="66" t="str">
        <f t="shared" si="8"/>
        <v/>
      </c>
    </row>
    <row r="81" spans="135:167" x14ac:dyDescent="0.25">
      <c r="EE81" s="77">
        <f>IF(AND(EF81&lt;&gt;"",EL81&lt;=$AB$4,COUNTIF(EF82:$EF$200,EF81)=0),MAX($EE$3:EE80)+1,0)</f>
        <v>0</v>
      </c>
      <c r="FH81" s="66" t="str">
        <f t="shared" si="7"/>
        <v/>
      </c>
      <c r="FK81" s="66" t="str">
        <f t="shared" si="8"/>
        <v/>
      </c>
    </row>
    <row r="82" spans="135:167" x14ac:dyDescent="0.25">
      <c r="EE82" s="77">
        <f>IF(AND(EF82&lt;&gt;"",EL82&lt;=$AB$4,COUNTIF(EF83:$EF$200,EF82)=0),MAX($EE$3:EE81)+1,0)</f>
        <v>0</v>
      </c>
      <c r="FH82" s="66" t="str">
        <f t="shared" si="7"/>
        <v/>
      </c>
      <c r="FK82" s="66" t="str">
        <f t="shared" si="8"/>
        <v/>
      </c>
    </row>
    <row r="83" spans="135:167" x14ac:dyDescent="0.25">
      <c r="EE83" s="77">
        <f>IF(AND(EF83&lt;&gt;"",EL83&lt;=$AB$4,COUNTIF(EF84:$EF$200,EF83)=0),MAX($EE$3:EE82)+1,0)</f>
        <v>0</v>
      </c>
      <c r="FH83" s="66" t="str">
        <f t="shared" si="7"/>
        <v/>
      </c>
      <c r="FK83" s="66" t="str">
        <f t="shared" si="8"/>
        <v/>
      </c>
    </row>
    <row r="84" spans="135:167" x14ac:dyDescent="0.25">
      <c r="EE84" s="77">
        <f>IF(AND(EF84&lt;&gt;"",EL84&lt;=$AB$4,COUNTIF(EF85:$EF$200,EF84)=0),MAX($EE$3:EE83)+1,0)</f>
        <v>0</v>
      </c>
      <c r="FH84" s="66" t="str">
        <f t="shared" si="7"/>
        <v/>
      </c>
      <c r="FK84" s="66" t="str">
        <f t="shared" si="8"/>
        <v/>
      </c>
    </row>
    <row r="85" spans="135:167" x14ac:dyDescent="0.25">
      <c r="EE85" s="77">
        <f>IF(AND(EF85&lt;&gt;"",EL85&lt;=$AB$4,COUNTIF(EF86:$EF$200,EF85)=0),MAX($EE$3:EE84)+1,0)</f>
        <v>0</v>
      </c>
      <c r="FH85" s="66" t="str">
        <f t="shared" si="7"/>
        <v/>
      </c>
      <c r="FK85" s="66" t="str">
        <f t="shared" si="8"/>
        <v/>
      </c>
    </row>
    <row r="86" spans="135:167" x14ac:dyDescent="0.25">
      <c r="EE86" s="77">
        <f>IF(AND(EF86&lt;&gt;"",EL86&lt;=$AB$4,COUNTIF(EF87:$EF$200,EF86)=0),MAX($EE$3:EE85)+1,0)</f>
        <v>0</v>
      </c>
      <c r="FH86" s="66" t="str">
        <f t="shared" si="7"/>
        <v/>
      </c>
      <c r="FK86" s="66" t="str">
        <f t="shared" si="8"/>
        <v/>
      </c>
    </row>
    <row r="87" spans="135:167" x14ac:dyDescent="0.25">
      <c r="EE87" s="77">
        <f>IF(AND(EF87&lt;&gt;"",EL87&lt;=$AB$4,COUNTIF(EF88:$EF$200,EF87)=0),MAX($EE$3:EE86)+1,0)</f>
        <v>0</v>
      </c>
      <c r="FH87" s="66" t="str">
        <f t="shared" si="7"/>
        <v/>
      </c>
      <c r="FK87" s="66" t="str">
        <f t="shared" si="8"/>
        <v/>
      </c>
    </row>
    <row r="88" spans="135:167" x14ac:dyDescent="0.25">
      <c r="EE88" s="77">
        <f>IF(AND(EF88&lt;&gt;"",EL88&lt;=$AB$4,COUNTIF(EF89:$EF$200,EF88)=0),MAX($EE$3:EE87)+1,0)</f>
        <v>0</v>
      </c>
      <c r="FH88" s="66" t="str">
        <f t="shared" si="7"/>
        <v/>
      </c>
      <c r="FK88" s="66" t="str">
        <f t="shared" si="8"/>
        <v/>
      </c>
    </row>
    <row r="89" spans="135:167" x14ac:dyDescent="0.25">
      <c r="EE89" s="77">
        <f>IF(AND(EF89&lt;&gt;"",EL89&lt;=$AB$4,COUNTIF(EF90:$EF$200,EF89)=0),MAX($EE$3:EE88)+1,0)</f>
        <v>0</v>
      </c>
      <c r="FH89" s="66" t="str">
        <f t="shared" si="7"/>
        <v/>
      </c>
      <c r="FK89" s="66" t="str">
        <f t="shared" si="8"/>
        <v/>
      </c>
    </row>
    <row r="90" spans="135:167" x14ac:dyDescent="0.25">
      <c r="EE90" s="77">
        <f>IF(AND(EF90&lt;&gt;"",EL90&lt;=$AB$4,COUNTIF(EF91:$EF$200,EF90)=0),MAX($EE$3:EE89)+1,0)</f>
        <v>0</v>
      </c>
      <c r="FH90" s="66" t="str">
        <f t="shared" si="7"/>
        <v/>
      </c>
      <c r="FK90" s="66" t="str">
        <f t="shared" si="8"/>
        <v/>
      </c>
    </row>
    <row r="91" spans="135:167" x14ac:dyDescent="0.25">
      <c r="EE91" s="77">
        <f>IF(AND(EF91&lt;&gt;"",EL91&lt;=$AB$4,COUNTIF(EF92:$EF$200,EF91)=0),MAX($EE$3:EE90)+1,0)</f>
        <v>0</v>
      </c>
      <c r="FH91" s="66" t="str">
        <f t="shared" si="7"/>
        <v/>
      </c>
      <c r="FK91" s="66" t="str">
        <f t="shared" si="8"/>
        <v/>
      </c>
    </row>
    <row r="92" spans="135:167" x14ac:dyDescent="0.25">
      <c r="EE92" s="77">
        <f>IF(AND(EF92&lt;&gt;"",EL92&lt;=$AB$4,COUNTIF(EF93:$EF$200,EF92)=0),MAX($EE$3:EE91)+1,0)</f>
        <v>0</v>
      </c>
      <c r="FH92" s="66" t="str">
        <f t="shared" si="7"/>
        <v/>
      </c>
      <c r="FK92" s="66" t="str">
        <f t="shared" si="8"/>
        <v/>
      </c>
    </row>
    <row r="93" spans="135:167" x14ac:dyDescent="0.25">
      <c r="EE93" s="77">
        <f>IF(AND(EF93&lt;&gt;"",EL93&lt;=$AB$4,COUNTIF(EF94:$EF$200,EF93)=0),MAX($EE$3:EE92)+1,0)</f>
        <v>0</v>
      </c>
      <c r="FH93" s="66" t="str">
        <f t="shared" si="7"/>
        <v/>
      </c>
      <c r="FK93" s="66" t="str">
        <f t="shared" si="8"/>
        <v/>
      </c>
    </row>
    <row r="94" spans="135:167" x14ac:dyDescent="0.25">
      <c r="EE94" s="77">
        <f>IF(AND(EF94&lt;&gt;"",EL94&lt;=$AB$4,COUNTIF(EF95:$EF$200,EF94)=0),MAX($EE$3:EE93)+1,0)</f>
        <v>0</v>
      </c>
      <c r="FH94" s="66" t="str">
        <f t="shared" si="7"/>
        <v/>
      </c>
      <c r="FK94" s="66" t="str">
        <f t="shared" si="8"/>
        <v/>
      </c>
    </row>
    <row r="95" spans="135:167" x14ac:dyDescent="0.25">
      <c r="EE95" s="77">
        <f>IF(AND(EF95&lt;&gt;"",EL95&lt;=$AB$4,COUNTIF(EF96:$EF$200,EF95)=0),MAX($EE$3:EE94)+1,0)</f>
        <v>0</v>
      </c>
      <c r="FH95" s="66" t="str">
        <f t="shared" si="7"/>
        <v/>
      </c>
      <c r="FK95" s="66" t="str">
        <f t="shared" si="8"/>
        <v/>
      </c>
    </row>
    <row r="96" spans="135:167" x14ac:dyDescent="0.25">
      <c r="EE96" s="77">
        <f>IF(AND(EF96&lt;&gt;"",EL96&lt;=$AB$4,COUNTIF(EF97:$EF$200,EF96)=0),MAX($EE$3:EE95)+1,0)</f>
        <v>0</v>
      </c>
      <c r="FH96" s="66" t="str">
        <f t="shared" si="7"/>
        <v/>
      </c>
      <c r="FK96" s="66" t="str">
        <f t="shared" si="8"/>
        <v/>
      </c>
    </row>
    <row r="97" spans="135:167" x14ac:dyDescent="0.25">
      <c r="EE97" s="77">
        <f>IF(AND(EF97&lt;&gt;"",EL97&lt;=$AB$4,COUNTIF(EF98:$EF$200,EF97)=0),MAX($EE$3:EE96)+1,0)</f>
        <v>0</v>
      </c>
      <c r="FH97" s="66" t="str">
        <f t="shared" si="7"/>
        <v/>
      </c>
      <c r="FK97" s="66" t="str">
        <f t="shared" si="8"/>
        <v/>
      </c>
    </row>
    <row r="98" spans="135:167" x14ac:dyDescent="0.25">
      <c r="EE98" s="77">
        <f>IF(AND(EF98&lt;&gt;"",EL98&lt;=$AB$4,COUNTIF(EF99:$EF$200,EF98)=0),MAX($EE$3:EE97)+1,0)</f>
        <v>0</v>
      </c>
      <c r="FH98" s="66" t="str">
        <f t="shared" si="7"/>
        <v/>
      </c>
      <c r="FK98" s="66" t="str">
        <f t="shared" si="8"/>
        <v/>
      </c>
    </row>
    <row r="99" spans="135:167" x14ac:dyDescent="0.25">
      <c r="EE99" s="77">
        <f>IF(AND(EF99&lt;&gt;"",EL99&lt;=$AB$4,COUNTIF(EF100:$EF$200,EF99)=0),MAX($EE$3:EE98)+1,0)</f>
        <v>0</v>
      </c>
      <c r="FH99" s="66" t="str">
        <f t="shared" si="7"/>
        <v/>
      </c>
      <c r="FK99" s="66" t="str">
        <f t="shared" si="8"/>
        <v/>
      </c>
    </row>
    <row r="100" spans="135:167" x14ac:dyDescent="0.25">
      <c r="EE100" s="77">
        <f>IF(AND(EF100&lt;&gt;"",EL100&lt;=$AB$4,COUNTIF(EF101:$EF$200,EF100)=0),MAX($EE$3:EE99)+1,0)</f>
        <v>0</v>
      </c>
      <c r="FH100" s="66" t="str">
        <f t="shared" ref="FH100:FH105" si="9">IF(FD100&lt;&gt;"",CONCATENATE(FF100," / ",FI100),"")</f>
        <v/>
      </c>
      <c r="FK100" s="66" t="str">
        <f t="shared" ref="FK100:FK105" si="10">IF(FD100&lt;&gt;"",CONCATENATE(FG100," / ",FJ100),"")</f>
        <v/>
      </c>
    </row>
    <row r="101" spans="135:167" x14ac:dyDescent="0.25">
      <c r="EE101" s="77">
        <f>IF(AND(EF101&lt;&gt;"",EL101&lt;=$AB$4,COUNTIF(EF102:$EF$200,EF101)=0),MAX($EE$3:EE100)+1,0)</f>
        <v>0</v>
      </c>
      <c r="FH101" s="66" t="str">
        <f t="shared" si="9"/>
        <v/>
      </c>
      <c r="FK101" s="66" t="str">
        <f t="shared" si="10"/>
        <v/>
      </c>
    </row>
    <row r="102" spans="135:167" x14ac:dyDescent="0.25">
      <c r="EE102" s="77">
        <f>IF(AND(EF102&lt;&gt;"",EL102&lt;=$AB$4,COUNTIF(EF103:$EF$200,EF102)=0),MAX($EE$3:EE101)+1,0)</f>
        <v>0</v>
      </c>
      <c r="FH102" s="66" t="str">
        <f t="shared" si="9"/>
        <v/>
      </c>
      <c r="FK102" s="66" t="str">
        <f t="shared" si="10"/>
        <v/>
      </c>
    </row>
    <row r="103" spans="135:167" x14ac:dyDescent="0.25">
      <c r="EE103" s="77">
        <f>IF(AND(EF103&lt;&gt;"",EL103&lt;=$AB$4,COUNTIF(EF104:$EF$200,EF103)=0),MAX($EE$3:EE102)+1,0)</f>
        <v>0</v>
      </c>
      <c r="FH103" s="66" t="str">
        <f t="shared" si="9"/>
        <v/>
      </c>
      <c r="FK103" s="66" t="str">
        <f t="shared" si="10"/>
        <v/>
      </c>
    </row>
    <row r="104" spans="135:167" x14ac:dyDescent="0.25">
      <c r="EE104" s="77">
        <f>IF(AND(EF104&lt;&gt;"",EL104&lt;=$AB$4,COUNTIF(EF105:$EF$200,EF104)=0),MAX($EE$3:EE103)+1,0)</f>
        <v>0</v>
      </c>
      <c r="FH104" s="66" t="str">
        <f t="shared" si="9"/>
        <v/>
      </c>
      <c r="FK104" s="66" t="str">
        <f t="shared" si="10"/>
        <v/>
      </c>
    </row>
    <row r="105" spans="135:167" x14ac:dyDescent="0.25">
      <c r="EE105" s="77">
        <f>IF(AND(EF105&lt;&gt;"",EL105&lt;=$AB$4,COUNTIF(EF106:$EF$200,EF105)=0),MAX($EE$3:EE104)+1,0)</f>
        <v>0</v>
      </c>
      <c r="FH105" s="66" t="str">
        <f t="shared" si="9"/>
        <v/>
      </c>
      <c r="FK105" s="66" t="str">
        <f t="shared" si="10"/>
        <v/>
      </c>
    </row>
    <row r="106" spans="135:167" x14ac:dyDescent="0.25">
      <c r="EE106" s="77">
        <f>IF(AND(EF106&lt;&gt;"",EL106&lt;=$AB$4,COUNTIF(EF107:$EF$200,EF106)=0),MAX($EE$3:EE105)+1,0)</f>
        <v>0</v>
      </c>
    </row>
    <row r="107" spans="135:167" x14ac:dyDescent="0.25">
      <c r="EE107" s="77">
        <f>IF(AND(EF107&lt;&gt;"",EL107&lt;=$AB$4,COUNTIF(EF108:$EF$200,EF107)=0),MAX($EE$3:EE106)+1,0)</f>
        <v>0</v>
      </c>
    </row>
    <row r="108" spans="135:167" x14ac:dyDescent="0.25">
      <c r="EE108" s="77">
        <f>IF(AND(EF108&lt;&gt;"",EL108&lt;=$AB$4,COUNTIF(EF109:$EF$200,EF108)=0),MAX($EE$3:EE107)+1,0)</f>
        <v>0</v>
      </c>
    </row>
    <row r="109" spans="135:167" x14ac:dyDescent="0.25">
      <c r="EE109" s="77">
        <f>IF(AND(EF109&lt;&gt;"",EL109&lt;=$AB$4,COUNTIF(EF110:$EF$200,EF109)=0),MAX($EE$3:EE108)+1,0)</f>
        <v>0</v>
      </c>
    </row>
    <row r="110" spans="135:167" x14ac:dyDescent="0.25">
      <c r="EE110" s="77">
        <f>IF(AND(EF110&lt;&gt;"",EL110&lt;=$AB$4,COUNTIF(EF111:$EF$200,EF110)=0),MAX($EE$3:EE109)+1,0)</f>
        <v>0</v>
      </c>
    </row>
    <row r="111" spans="135:167" x14ac:dyDescent="0.25">
      <c r="EE111" s="77">
        <f>IF(AND(EF111&lt;&gt;"",EL111&lt;=$AB$4,COUNTIF(EF112:$EF$200,EF111)=0),MAX($EE$3:EE110)+1,0)</f>
        <v>0</v>
      </c>
    </row>
    <row r="112" spans="135:167" x14ac:dyDescent="0.25">
      <c r="EE112" s="77">
        <f>IF(AND(EF112&lt;&gt;"",EL112&lt;=$AB$4,COUNTIF(EF113:$EF$200,EF112)=0),MAX($EE$3:EE111)+1,0)</f>
        <v>0</v>
      </c>
    </row>
    <row r="113" spans="135:135" x14ac:dyDescent="0.25">
      <c r="EE113" s="77">
        <f>IF(AND(EF113&lt;&gt;"",EL113&lt;=$AB$4,COUNTIF(EF114:$EF$200,EF113)=0),MAX($EE$3:EE112)+1,0)</f>
        <v>0</v>
      </c>
    </row>
    <row r="114" spans="135:135" x14ac:dyDescent="0.25">
      <c r="EE114" s="77">
        <f>IF(AND(EF114&lt;&gt;"",EL114&lt;=$AB$4,COUNTIF(EF115:$EF$200,EF114)=0),MAX($EE$3:EE113)+1,0)</f>
        <v>0</v>
      </c>
    </row>
    <row r="115" spans="135:135" x14ac:dyDescent="0.25">
      <c r="EE115" s="77">
        <f>IF(AND(EF115&lt;&gt;"",EL115&lt;=$AB$4,COUNTIF(EF116:$EF$200,EF115)=0),MAX($EE$3:EE114)+1,0)</f>
        <v>0</v>
      </c>
    </row>
    <row r="116" spans="135:135" x14ac:dyDescent="0.25">
      <c r="EE116" s="77">
        <f>IF(AND(EF116&lt;&gt;"",EL116&lt;=$AB$4,COUNTIF(EF117:$EF$200,EF116)=0),MAX($EE$3:EE115)+1,0)</f>
        <v>0</v>
      </c>
    </row>
    <row r="117" spans="135:135" x14ac:dyDescent="0.25">
      <c r="EE117" s="77">
        <f>IF(AND(EF117&lt;&gt;"",EL117&lt;=$AB$4,COUNTIF(EF118:$EF$200,EF117)=0),MAX($EE$3:EE116)+1,0)</f>
        <v>0</v>
      </c>
    </row>
    <row r="118" spans="135:135" x14ac:dyDescent="0.25">
      <c r="EE118" s="77">
        <f>IF(AND(EF118&lt;&gt;"",EL118&lt;=$AB$4,COUNTIF(EF119:$EF$200,EF118)=0),MAX($EE$3:EE117)+1,0)</f>
        <v>0</v>
      </c>
    </row>
    <row r="119" spans="135:135" x14ac:dyDescent="0.25">
      <c r="EE119" s="77">
        <f>IF(AND(EF119&lt;&gt;"",EL119&lt;=$AB$4,COUNTIF(EF120:$EF$200,EF119)=0),MAX($EE$3:EE118)+1,0)</f>
        <v>0</v>
      </c>
    </row>
    <row r="120" spans="135:135" x14ac:dyDescent="0.25">
      <c r="EE120" s="77">
        <f>IF(AND(EF120&lt;&gt;"",EL120&lt;=$AB$4,COUNTIF(EF121:$EF$200,EF120)=0),MAX($EE$3:EE119)+1,0)</f>
        <v>0</v>
      </c>
    </row>
    <row r="121" spans="135:135" x14ac:dyDescent="0.25">
      <c r="EE121" s="77">
        <f>IF(AND(EF121&lt;&gt;"",EL121&lt;=$AB$4,COUNTIF(EF122:$EF$200,EF121)=0),MAX($EE$3:EE120)+1,0)</f>
        <v>0</v>
      </c>
    </row>
    <row r="122" spans="135:135" x14ac:dyDescent="0.25">
      <c r="EE122" s="77">
        <f>IF(AND(EF122&lt;&gt;"",EL122&lt;=$AB$4,COUNTIF(EF123:$EF$200,EF122)=0),MAX($EE$3:EE121)+1,0)</f>
        <v>0</v>
      </c>
    </row>
    <row r="123" spans="135:135" x14ac:dyDescent="0.25">
      <c r="EE123" s="77">
        <f>IF(AND(EF123&lt;&gt;"",EL123&lt;=$AB$4,COUNTIF(EF124:$EF$200,EF123)=0),MAX($EE$3:EE122)+1,0)</f>
        <v>0</v>
      </c>
    </row>
    <row r="124" spans="135:135" x14ac:dyDescent="0.25">
      <c r="EE124" s="77">
        <f>IF(AND(EF124&lt;&gt;"",EL124&lt;=$AB$4,COUNTIF(EF125:$EF$200,EF124)=0),MAX($EE$3:EE123)+1,0)</f>
        <v>0</v>
      </c>
    </row>
    <row r="125" spans="135:135" x14ac:dyDescent="0.25">
      <c r="EE125" s="77">
        <f>IF(AND(EF125&lt;&gt;"",EL125&lt;=$AB$4,COUNTIF(EF126:$EF$200,EF125)=0),MAX($EE$3:EE124)+1,0)</f>
        <v>0</v>
      </c>
    </row>
    <row r="126" spans="135:135" x14ac:dyDescent="0.25">
      <c r="EE126" s="77">
        <f>IF(AND(EF126&lt;&gt;"",EL126&lt;=$AB$4,COUNTIF(EF127:$EF$200,EF126)=0),MAX($EE$3:EE125)+1,0)</f>
        <v>0</v>
      </c>
    </row>
    <row r="127" spans="135:135" x14ac:dyDescent="0.25">
      <c r="EE127" s="77">
        <f>IF(AND(EF127&lt;&gt;"",EL127&lt;=$AB$4,COUNTIF(EF128:$EF$200,EF127)=0),MAX($EE$3:EE126)+1,0)</f>
        <v>0</v>
      </c>
    </row>
    <row r="128" spans="135:135" x14ac:dyDescent="0.25">
      <c r="EE128" s="77">
        <f>IF(AND(EF128&lt;&gt;"",EL128&lt;=$AB$4,COUNTIF(EF129:$EF$200,EF128)=0),MAX($EE$3:EE127)+1,0)</f>
        <v>0</v>
      </c>
    </row>
    <row r="129" spans="135:135" x14ac:dyDescent="0.25">
      <c r="EE129" s="77">
        <f>IF(AND(EF129&lt;&gt;"",EL129&lt;=$AB$4,COUNTIF(EF130:$EF$200,EF129)=0),MAX($EE$3:EE128)+1,0)</f>
        <v>0</v>
      </c>
    </row>
    <row r="130" spans="135:135" x14ac:dyDescent="0.25">
      <c r="EE130" s="77">
        <f>IF(AND(EF130&lt;&gt;"",EL130&lt;=$AB$4,COUNTIF(EF131:$EF$200,EF130)=0),MAX($EE$3:EE129)+1,0)</f>
        <v>0</v>
      </c>
    </row>
    <row r="131" spans="135:135" x14ac:dyDescent="0.25">
      <c r="EE131" s="77">
        <f>IF(AND(EF131&lt;&gt;"",EL131&lt;=$AB$4,COUNTIF(EF132:$EF$200,EF131)=0),MAX($EE$3:EE130)+1,0)</f>
        <v>0</v>
      </c>
    </row>
    <row r="132" spans="135:135" x14ac:dyDescent="0.25">
      <c r="EE132" s="77">
        <f>IF(AND(EF132&lt;&gt;"",EL132&lt;=$AB$4,COUNTIF(EF133:$EF$200,EF132)=0),MAX($EE$3:EE131)+1,0)</f>
        <v>0</v>
      </c>
    </row>
    <row r="133" spans="135:135" x14ac:dyDescent="0.25">
      <c r="EE133" s="77">
        <f>IF(AND(EF133&lt;&gt;"",EL133&lt;=$AB$4,COUNTIF(EF134:$EF$200,EF133)=0),MAX($EE$3:EE132)+1,0)</f>
        <v>0</v>
      </c>
    </row>
    <row r="134" spans="135:135" x14ac:dyDescent="0.25">
      <c r="EE134" s="77">
        <f>IF(AND(EF134&lt;&gt;"",EL134&lt;=$AB$4,COUNTIF(EF135:$EF$200,EF134)=0),MAX($EE$3:EE133)+1,0)</f>
        <v>0</v>
      </c>
    </row>
    <row r="135" spans="135:135" x14ac:dyDescent="0.25">
      <c r="EE135" s="77">
        <f>IF(AND(EF135&lt;&gt;"",EL135&lt;=$AB$4,COUNTIF(EF136:$EF$200,EF135)=0),MAX($EE$3:EE134)+1,0)</f>
        <v>0</v>
      </c>
    </row>
    <row r="136" spans="135:135" x14ac:dyDescent="0.25">
      <c r="EE136" s="77">
        <f>IF(AND(EF136&lt;&gt;"",EL136&lt;=$AB$4,COUNTIF(EF137:$EF$200,EF136)=0),MAX($EE$3:EE135)+1,0)</f>
        <v>0</v>
      </c>
    </row>
    <row r="137" spans="135:135" x14ac:dyDescent="0.25">
      <c r="EE137" s="77">
        <f>IF(AND(EF137&lt;&gt;"",EL137&lt;=$AB$4,COUNTIF(EF138:$EF$200,EF137)=0),MAX($EE$3:EE136)+1,0)</f>
        <v>0</v>
      </c>
    </row>
    <row r="138" spans="135:135" x14ac:dyDescent="0.25">
      <c r="EE138" s="77">
        <f>IF(AND(EF138&lt;&gt;"",EL138&lt;=$AB$4,COUNTIF(EF139:$EF$200,EF138)=0),MAX($EE$3:EE137)+1,0)</f>
        <v>0</v>
      </c>
    </row>
    <row r="139" spans="135:135" x14ac:dyDescent="0.25">
      <c r="EE139" s="77">
        <f>IF(AND(EF139&lt;&gt;"",EL139&lt;=$AB$4,COUNTIF(EF140:$EF$200,EF139)=0),MAX($EE$3:EE138)+1,0)</f>
        <v>0</v>
      </c>
    </row>
    <row r="140" spans="135:135" x14ac:dyDescent="0.25">
      <c r="EE140" s="77">
        <f>IF(AND(EF140&lt;&gt;"",EL140&lt;=$AB$4,COUNTIF(EF141:$EF$200,EF140)=0),MAX($EE$3:EE139)+1,0)</f>
        <v>0</v>
      </c>
    </row>
    <row r="141" spans="135:135" x14ac:dyDescent="0.25">
      <c r="EE141" s="77">
        <f>IF(AND(EF141&lt;&gt;"",EL141&lt;=$AB$4,COUNTIF(EF142:$EF$200,EF141)=0),MAX($EE$3:EE140)+1,0)</f>
        <v>0</v>
      </c>
    </row>
    <row r="142" spans="135:135" x14ac:dyDescent="0.25">
      <c r="EE142" s="77">
        <f>IF(AND(EF142&lt;&gt;"",EL142&lt;=$AB$4,COUNTIF(EF143:$EF$200,EF142)=0),MAX($EE$3:EE141)+1,0)</f>
        <v>0</v>
      </c>
    </row>
    <row r="143" spans="135:135" x14ac:dyDescent="0.25">
      <c r="EE143" s="77">
        <f>IF(AND(EF143&lt;&gt;"",EL143&lt;=$AB$4,COUNTIF(EF144:$EF$200,EF143)=0),MAX($EE$3:EE142)+1,0)</f>
        <v>0</v>
      </c>
    </row>
    <row r="144" spans="135:135" x14ac:dyDescent="0.25">
      <c r="EE144" s="77">
        <f>IF(AND(EF144&lt;&gt;"",EL144&lt;=$AB$4,COUNTIF(EF145:$EF$200,EF144)=0),MAX($EE$3:EE143)+1,0)</f>
        <v>0</v>
      </c>
    </row>
    <row r="145" spans="135:135" x14ac:dyDescent="0.25">
      <c r="EE145" s="77">
        <f>IF(AND(EF145&lt;&gt;"",EL145&lt;=$AB$4,COUNTIF(EF146:$EF$200,EF145)=0),MAX($EE$3:EE144)+1,0)</f>
        <v>0</v>
      </c>
    </row>
    <row r="146" spans="135:135" x14ac:dyDescent="0.25">
      <c r="EE146" s="77">
        <f>IF(AND(EF146&lt;&gt;"",EL146&lt;=$AB$4,COUNTIF(EF147:$EF$200,EF146)=0),MAX($EE$3:EE145)+1,0)</f>
        <v>0</v>
      </c>
    </row>
    <row r="147" spans="135:135" x14ac:dyDescent="0.25">
      <c r="EE147" s="77">
        <f>IF(AND(EF147&lt;&gt;"",EL147&lt;=$AB$4,COUNTIF(EF148:$EF$200,EF147)=0),MAX($EE$3:EE146)+1,0)</f>
        <v>0</v>
      </c>
    </row>
    <row r="148" spans="135:135" x14ac:dyDescent="0.25">
      <c r="EE148" s="77">
        <f>IF(AND(EF148&lt;&gt;"",EL148&lt;=$AB$4,COUNTIF(EF149:$EF$200,EF148)=0),MAX($EE$3:EE147)+1,0)</f>
        <v>0</v>
      </c>
    </row>
    <row r="149" spans="135:135" x14ac:dyDescent="0.25">
      <c r="EE149" s="77">
        <f>IF(AND(EF149&lt;&gt;"",EL149&lt;=$AB$4,COUNTIF(EF150:$EF$200,EF149)=0),MAX($EE$3:EE148)+1,0)</f>
        <v>0</v>
      </c>
    </row>
    <row r="150" spans="135:135" x14ac:dyDescent="0.25">
      <c r="EE150" s="77">
        <f>IF(AND(EF150&lt;&gt;"",EL150&lt;=$AB$4,COUNTIF(EF151:$EF$200,EF150)=0),MAX($EE$3:EE149)+1,0)</f>
        <v>0</v>
      </c>
    </row>
    <row r="151" spans="135:135" x14ac:dyDescent="0.25">
      <c r="EE151" s="77">
        <f>IF(AND(EF151&lt;&gt;"",EL151&lt;=$AB$4,COUNTIF(EF152:$EF$200,EF151)=0),MAX($EE$3:EE150)+1,0)</f>
        <v>0</v>
      </c>
    </row>
    <row r="152" spans="135:135" x14ac:dyDescent="0.25">
      <c r="EE152" s="77">
        <f>IF(AND(EF152&lt;&gt;"",EL152&lt;=$AB$4,COUNTIF(EF153:$EF$200,EF152)=0),MAX($EE$3:EE151)+1,0)</f>
        <v>0</v>
      </c>
    </row>
    <row r="153" spans="135:135" x14ac:dyDescent="0.25">
      <c r="EE153" s="77">
        <f>IF(AND(EF153&lt;&gt;"",EL153&lt;=$AB$4,COUNTIF(EF154:$EF$200,EF153)=0),MAX($EE$3:EE152)+1,0)</f>
        <v>0</v>
      </c>
    </row>
    <row r="154" spans="135:135" x14ac:dyDescent="0.25">
      <c r="EE154" s="77">
        <f>IF(AND(EF154&lt;&gt;"",EL154&lt;=$AB$4,COUNTIF(EF155:$EF$200,EF154)=0),MAX($EE$3:EE153)+1,0)</f>
        <v>0</v>
      </c>
    </row>
    <row r="155" spans="135:135" x14ac:dyDescent="0.25">
      <c r="EE155" s="77">
        <f>IF(AND(EF155&lt;&gt;"",EL155&lt;=$AB$4,COUNTIF(EF156:$EF$200,EF155)=0),MAX($EE$3:EE154)+1,0)</f>
        <v>0</v>
      </c>
    </row>
    <row r="156" spans="135:135" x14ac:dyDescent="0.25">
      <c r="EE156" s="77">
        <f>IF(AND(EF156&lt;&gt;"",EL156&lt;=$AB$4,COUNTIF(EF157:$EF$200,EF156)=0),MAX($EE$3:EE155)+1,0)</f>
        <v>0</v>
      </c>
    </row>
    <row r="157" spans="135:135" x14ac:dyDescent="0.25">
      <c r="EE157" s="77">
        <f>IF(AND(EF157&lt;&gt;"",EL157&lt;=$AB$4,COUNTIF(EF158:$EF$200,EF157)=0),MAX($EE$3:EE156)+1,0)</f>
        <v>0</v>
      </c>
    </row>
    <row r="158" spans="135:135" x14ac:dyDescent="0.25">
      <c r="EE158" s="77">
        <f>IF(AND(EF158&lt;&gt;"",EL158&lt;=$AB$4,COUNTIF(EF159:$EF$200,EF158)=0),MAX($EE$3:EE157)+1,0)</f>
        <v>0</v>
      </c>
    </row>
    <row r="159" spans="135:135" x14ac:dyDescent="0.25">
      <c r="EE159" s="77">
        <f>IF(AND(EF159&lt;&gt;"",EL159&lt;=$AB$4,COUNTIF(EF160:$EF$200,EF159)=0),MAX($EE$3:EE158)+1,0)</f>
        <v>0</v>
      </c>
    </row>
    <row r="160" spans="135:135" x14ac:dyDescent="0.25">
      <c r="EE160" s="77">
        <f>IF(AND(EF160&lt;&gt;"",EL160&lt;=$AB$4,COUNTIF(EF161:$EF$200,EF160)=0),MAX($EE$3:EE159)+1,0)</f>
        <v>0</v>
      </c>
    </row>
    <row r="161" spans="135:135" x14ac:dyDescent="0.25">
      <c r="EE161" s="77">
        <f>IF(AND(EF161&lt;&gt;"",EL161&lt;=$AB$4,COUNTIF(EF162:$EF$200,EF161)=0),MAX($EE$3:EE160)+1,0)</f>
        <v>0</v>
      </c>
    </row>
    <row r="162" spans="135:135" x14ac:dyDescent="0.25">
      <c r="EE162" s="77">
        <f>IF(AND(EF162&lt;&gt;"",EL162&lt;=$AB$4,COUNTIF(EF163:$EF$200,EF162)=0),MAX($EE$3:EE161)+1,0)</f>
        <v>0</v>
      </c>
    </row>
    <row r="163" spans="135:135" x14ac:dyDescent="0.25">
      <c r="EE163" s="77">
        <f>IF(AND(EF163&lt;&gt;"",EL163&lt;=$AB$4,COUNTIF(EF164:$EF$200,EF163)=0),MAX($EE$3:EE162)+1,0)</f>
        <v>0</v>
      </c>
    </row>
    <row r="164" spans="135:135" x14ac:dyDescent="0.25">
      <c r="EE164" s="77">
        <f>IF(AND(EF164&lt;&gt;"",EL164&lt;=$AB$4,COUNTIF(EF165:$EF$200,EF164)=0),MAX($EE$3:EE163)+1,0)</f>
        <v>0</v>
      </c>
    </row>
    <row r="165" spans="135:135" x14ac:dyDescent="0.25">
      <c r="EE165" s="77">
        <f>IF(AND(EF165&lt;&gt;"",EL165&lt;=$AB$4,COUNTIF(EF166:$EF$200,EF165)=0),MAX($EE$3:EE164)+1,0)</f>
        <v>0</v>
      </c>
    </row>
    <row r="166" spans="135:135" x14ac:dyDescent="0.25">
      <c r="EE166" s="77">
        <f>IF(AND(EF166&lt;&gt;"",EL166&lt;=$AB$4,COUNTIF(EF167:$EF$200,EF166)=0),MAX($EE$3:EE165)+1,0)</f>
        <v>0</v>
      </c>
    </row>
    <row r="167" spans="135:135" x14ac:dyDescent="0.25">
      <c r="EE167" s="77">
        <f>IF(AND(EF167&lt;&gt;"",EL167&lt;=$AB$4,COUNTIF(EF168:$EF$200,EF167)=0),MAX($EE$3:EE166)+1,0)</f>
        <v>0</v>
      </c>
    </row>
    <row r="168" spans="135:135" x14ac:dyDescent="0.25">
      <c r="EE168" s="77">
        <f>IF(AND(EF168&lt;&gt;"",EL168&lt;=$AB$4,COUNTIF(EF169:$EF$200,EF168)=0),MAX($EE$3:EE167)+1,0)</f>
        <v>0</v>
      </c>
    </row>
    <row r="169" spans="135:135" x14ac:dyDescent="0.25">
      <c r="EE169" s="77">
        <f>IF(AND(EF169&lt;&gt;"",EL169&lt;=$AB$4,COUNTIF(EF170:$EF$200,EF169)=0),MAX($EE$3:EE168)+1,0)</f>
        <v>0</v>
      </c>
    </row>
    <row r="170" spans="135:135" x14ac:dyDescent="0.25">
      <c r="EE170" s="77">
        <f>IF(AND(EF170&lt;&gt;"",EL170&lt;=$AB$4,COUNTIF(EF171:$EF$200,EF170)=0),MAX($EE$3:EE169)+1,0)</f>
        <v>0</v>
      </c>
    </row>
    <row r="171" spans="135:135" x14ac:dyDescent="0.25">
      <c r="EE171" s="77">
        <f>IF(AND(EF171&lt;&gt;"",EL171&lt;=$AB$4,COUNTIF(EF172:$EF$200,EF171)=0),MAX($EE$3:EE170)+1,0)</f>
        <v>0</v>
      </c>
    </row>
    <row r="172" spans="135:135" x14ac:dyDescent="0.25">
      <c r="EE172" s="77">
        <f>IF(AND(EF172&lt;&gt;"",EL172&lt;=$AB$4,COUNTIF(EF173:$EF$200,EF172)=0),MAX($EE$3:EE171)+1,0)</f>
        <v>0</v>
      </c>
    </row>
    <row r="173" spans="135:135" x14ac:dyDescent="0.25">
      <c r="EE173" s="77">
        <f>IF(AND(EF173&lt;&gt;"",EL173&lt;=$AB$4,COUNTIF(EF174:$EF$200,EF173)=0),MAX($EE$3:EE172)+1,0)</f>
        <v>0</v>
      </c>
    </row>
    <row r="174" spans="135:135" x14ac:dyDescent="0.25">
      <c r="EE174" s="77">
        <f>IF(AND(EF174&lt;&gt;"",EL174&lt;=$AB$4,COUNTIF(EF175:$EF$200,EF174)=0),MAX($EE$3:EE173)+1,0)</f>
        <v>0</v>
      </c>
    </row>
    <row r="175" spans="135:135" x14ac:dyDescent="0.25">
      <c r="EE175" s="77">
        <f>IF(AND(EF175&lt;&gt;"",EL175&lt;=$AB$4,COUNTIF(EF176:$EF$200,EF175)=0),MAX($EE$3:EE174)+1,0)</f>
        <v>0</v>
      </c>
    </row>
    <row r="176" spans="135:135" x14ac:dyDescent="0.25">
      <c r="EE176" s="77">
        <f>IF(AND(EF176&lt;&gt;"",EL176&lt;=$AB$4,COUNTIF(EF177:$EF$200,EF176)=0),MAX($EE$3:EE175)+1,0)</f>
        <v>0</v>
      </c>
    </row>
    <row r="177" spans="135:135" x14ac:dyDescent="0.25">
      <c r="EE177" s="77">
        <f>IF(AND(EF177&lt;&gt;"",EL177&lt;=$AB$4,COUNTIF(EF178:$EF$200,EF177)=0),MAX($EE$3:EE176)+1,0)</f>
        <v>0</v>
      </c>
    </row>
    <row r="178" spans="135:135" x14ac:dyDescent="0.25">
      <c r="EE178" s="77">
        <f>IF(AND(EF178&lt;&gt;"",EL178&lt;=$AB$4,COUNTIF(EF179:$EF$200,EF178)=0),MAX($EE$3:EE177)+1,0)</f>
        <v>0</v>
      </c>
    </row>
    <row r="179" spans="135:135" x14ac:dyDescent="0.25">
      <c r="EE179" s="77">
        <f>IF(AND(EF179&lt;&gt;"",EL179&lt;=$AB$4,COUNTIF(EF180:$EF$200,EF179)=0),MAX($EE$3:EE178)+1,0)</f>
        <v>0</v>
      </c>
    </row>
    <row r="180" spans="135:135" x14ac:dyDescent="0.25">
      <c r="EE180" s="77">
        <f>IF(AND(EF180&lt;&gt;"",EL180&lt;=$AB$4,COUNTIF(EF181:$EF$200,EF180)=0),MAX($EE$3:EE179)+1,0)</f>
        <v>0</v>
      </c>
    </row>
    <row r="181" spans="135:135" x14ac:dyDescent="0.25">
      <c r="EE181" s="77">
        <f>IF(AND(EF181&lt;&gt;"",EL181&lt;=$AB$4,COUNTIF(EF182:$EF$200,EF181)=0),MAX($EE$3:EE180)+1,0)</f>
        <v>0</v>
      </c>
    </row>
    <row r="182" spans="135:135" x14ac:dyDescent="0.25">
      <c r="EE182" s="77">
        <f>IF(AND(EF182&lt;&gt;"",EL182&lt;=$AB$4,COUNTIF(EF183:$EF$200,EF182)=0),MAX($EE$3:EE181)+1,0)</f>
        <v>0</v>
      </c>
    </row>
    <row r="183" spans="135:135" x14ac:dyDescent="0.25">
      <c r="EE183" s="77">
        <f>IF(AND(EF183&lt;&gt;"",EL183&lt;=$AB$4,COUNTIF(EF184:$EF$200,EF183)=0),MAX($EE$3:EE182)+1,0)</f>
        <v>0</v>
      </c>
    </row>
    <row r="184" spans="135:135" x14ac:dyDescent="0.25">
      <c r="EE184" s="77">
        <f>IF(AND(EF184&lt;&gt;"",EL184&lt;=$AB$4,COUNTIF(EF185:$EF$200,EF184)=0),MAX($EE$3:EE183)+1,0)</f>
        <v>0</v>
      </c>
    </row>
    <row r="185" spans="135:135" x14ac:dyDescent="0.25">
      <c r="EE185" s="77">
        <f>IF(AND(EF185&lt;&gt;"",EL185&lt;=$AB$4,COUNTIF(EF186:$EF$200,EF185)=0),MAX($EE$3:EE184)+1,0)</f>
        <v>0</v>
      </c>
    </row>
    <row r="186" spans="135:135" x14ac:dyDescent="0.25">
      <c r="EE186" s="77">
        <f>IF(AND(EF186&lt;&gt;"",EL186&lt;=$AB$4,COUNTIF(EF187:$EF$200,EF186)=0),MAX($EE$3:EE185)+1,0)</f>
        <v>0</v>
      </c>
    </row>
    <row r="187" spans="135:135" x14ac:dyDescent="0.25">
      <c r="EE187" s="77">
        <f>IF(AND(EF187&lt;&gt;"",EL187&lt;=$AB$4,COUNTIF(EF188:$EF$200,EF187)=0),MAX($EE$3:EE186)+1,0)</f>
        <v>0</v>
      </c>
    </row>
    <row r="188" spans="135:135" x14ac:dyDescent="0.25">
      <c r="EE188" s="77">
        <f>IF(AND(EF188&lt;&gt;"",EL188&lt;=$AB$4,COUNTIF(EF189:$EF$200,EF188)=0),MAX($EE$3:EE187)+1,0)</f>
        <v>0</v>
      </c>
    </row>
    <row r="189" spans="135:135" x14ac:dyDescent="0.25">
      <c r="EE189" s="77">
        <f>IF(AND(EF189&lt;&gt;"",EL189&lt;=$AB$4,COUNTIF(EF190:$EF$200,EF189)=0),MAX($EE$3:EE188)+1,0)</f>
        <v>0</v>
      </c>
    </row>
    <row r="190" spans="135:135" x14ac:dyDescent="0.25">
      <c r="EE190" s="77">
        <f>IF(AND(EF190&lt;&gt;"",EL190&lt;=$AB$4,COUNTIF(EF191:$EF$200,EF190)=0),MAX($EE$3:EE189)+1,0)</f>
        <v>0</v>
      </c>
    </row>
    <row r="191" spans="135:135" x14ac:dyDescent="0.25">
      <c r="EE191" s="77">
        <f>IF(AND(EF191&lt;&gt;"",EL191&lt;=$AB$4,COUNTIF(EF192:$EF$200,EF191)=0),MAX($EE$3:EE190)+1,0)</f>
        <v>0</v>
      </c>
    </row>
    <row r="192" spans="135:135" x14ac:dyDescent="0.25">
      <c r="EE192" s="77">
        <f>IF(AND(EF192&lt;&gt;"",EL192&lt;=$AB$4,COUNTIF(EF193:$EF$200,EF192)=0),MAX($EE$3:EE191)+1,0)</f>
        <v>0</v>
      </c>
    </row>
    <row r="193" spans="135:135" x14ac:dyDescent="0.25">
      <c r="EE193" s="77">
        <f>IF(AND(EF193&lt;&gt;"",EL193&lt;=$AB$4,COUNTIF(EF194:$EF$200,EF193)=0),MAX($EE$3:EE192)+1,0)</f>
        <v>0</v>
      </c>
    </row>
    <row r="194" spans="135:135" x14ac:dyDescent="0.25">
      <c r="EE194" s="77">
        <f>IF(AND(EF194&lt;&gt;"",EL194&lt;=$AB$4,COUNTIF(EF195:$EF$200,EF194)=0),MAX($EE$3:EE193)+1,0)</f>
        <v>0</v>
      </c>
    </row>
    <row r="195" spans="135:135" x14ac:dyDescent="0.25">
      <c r="EE195" s="77">
        <f>IF(AND(EF195&lt;&gt;"",EL195&lt;=$AB$4,COUNTIF(EF196:$EF$200,EF195)=0),MAX($EE$3:EE194)+1,0)</f>
        <v>0</v>
      </c>
    </row>
    <row r="196" spans="135:135" x14ac:dyDescent="0.25">
      <c r="EE196" s="77">
        <f>IF(AND(EF196&lt;&gt;"",EL196&lt;=$AB$4,COUNTIF(EF197:$EF$200,EF196)=0),MAX($EE$3:EE195)+1,0)</f>
        <v>0</v>
      </c>
    </row>
    <row r="197" spans="135:135" x14ac:dyDescent="0.25">
      <c r="EE197" s="77">
        <f>IF(AND(EF197&lt;&gt;"",EL197&lt;=$AB$4,COUNTIF(EF198:$EF$200,EF197)=0),MAX($EE$3:EE196)+1,0)</f>
        <v>0</v>
      </c>
    </row>
    <row r="198" spans="135:135" x14ac:dyDescent="0.25">
      <c r="EE198" s="77">
        <f>IF(AND(EF198&lt;&gt;"",EL198&lt;=$AB$4,COUNTIF(EF199:$EF$200,EF198)=0),MAX($EE$3:EE197)+1,0)</f>
        <v>0</v>
      </c>
    </row>
    <row r="199" spans="135:135" x14ac:dyDescent="0.25">
      <c r="EE199" s="77">
        <f>IF(AND(EF199&lt;&gt;"",EL199&lt;=$AB$4,COUNTIF(EF200:$EF$200,EF199)=0),MAX($EE$3:EE198)+1,0)</f>
        <v>0</v>
      </c>
    </row>
    <row r="200" spans="135:135" x14ac:dyDescent="0.25">
      <c r="EE200" s="77">
        <f>IF(AND(EF200&lt;&gt;"",EL200&lt;=$AB$4,COUNTIF(EF$200:$EF201,EF200)=0),MAX($EE$3:EE199)+1,0)</f>
        <v>0</v>
      </c>
    </row>
  </sheetData>
  <mergeCells count="14">
    <mergeCell ref="AB10:AK10"/>
    <mergeCell ref="AB19:AK19"/>
    <mergeCell ref="AB28:AK28"/>
    <mergeCell ref="BC2:BH2"/>
    <mergeCell ref="BC1:BN1"/>
    <mergeCell ref="AB1:AK1"/>
    <mergeCell ref="AR1:AV1"/>
    <mergeCell ref="G1:J1"/>
    <mergeCell ref="Q1:T1"/>
    <mergeCell ref="CC1:CJ1"/>
    <mergeCell ref="EE1:EK1"/>
    <mergeCell ref="DM1:DP1"/>
    <mergeCell ref="BU1:BV1"/>
    <mergeCell ref="CQ1:D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 activeCell="C18" sqref="C18"/>
    </sheetView>
  </sheetViews>
  <sheetFormatPr defaultColWidth="9.109375" defaultRowHeight="13.2" x14ac:dyDescent="0.25"/>
  <cols>
    <col min="1" max="1" width="13.77734375" style="3" customWidth="1"/>
    <col min="2" max="2" width="16.5546875" style="3" customWidth="1"/>
    <col min="3" max="3" width="78.5546875" style="18" customWidth="1"/>
    <col min="4" max="4" width="26.44140625" style="3" customWidth="1"/>
    <col min="5" max="5" width="5.5546875" customWidth="1"/>
  </cols>
  <sheetData>
    <row r="1" spans="1:4" x14ac:dyDescent="0.25">
      <c r="A1" s="1" t="s">
        <v>58</v>
      </c>
      <c r="B1" s="1" t="s">
        <v>22</v>
      </c>
      <c r="C1" s="27" t="s">
        <v>42</v>
      </c>
      <c r="D1" s="1" t="s">
        <v>56</v>
      </c>
    </row>
    <row r="2" spans="1:4" x14ac:dyDescent="0.25">
      <c r="A2" s="2">
        <v>42069</v>
      </c>
      <c r="B2" s="17" t="s">
        <v>69</v>
      </c>
      <c r="C2" s="19" t="s">
        <v>84</v>
      </c>
      <c r="D2" s="17" t="s">
        <v>64</v>
      </c>
    </row>
    <row r="3" spans="1:4" x14ac:dyDescent="0.25">
      <c r="A3" s="2">
        <v>42108</v>
      </c>
      <c r="B3" s="17" t="s">
        <v>69</v>
      </c>
      <c r="C3" s="19" t="s">
        <v>85</v>
      </c>
      <c r="D3" s="17" t="s">
        <v>64</v>
      </c>
    </row>
    <row r="4" spans="1:4" x14ac:dyDescent="0.25">
      <c r="A4" s="2">
        <v>42865</v>
      </c>
      <c r="B4" s="17" t="s">
        <v>86</v>
      </c>
      <c r="C4" s="19" t="s">
        <v>87</v>
      </c>
      <c r="D4" s="17" t="s">
        <v>64</v>
      </c>
    </row>
    <row r="5" spans="1:4" x14ac:dyDescent="0.25">
      <c r="A5" s="2">
        <v>42872</v>
      </c>
      <c r="B5" s="3" t="s">
        <v>86</v>
      </c>
      <c r="C5" s="18" t="s">
        <v>93</v>
      </c>
      <c r="D5" s="3" t="s">
        <v>64</v>
      </c>
    </row>
    <row r="6" spans="1:4" x14ac:dyDescent="0.25">
      <c r="A6" s="2">
        <v>43410</v>
      </c>
      <c r="B6" s="17" t="s">
        <v>101</v>
      </c>
      <c r="C6" s="19" t="s">
        <v>102</v>
      </c>
      <c r="D6" s="17" t="s">
        <v>64</v>
      </c>
    </row>
    <row r="7" spans="1:4" x14ac:dyDescent="0.25">
      <c r="A7" s="2">
        <v>43549</v>
      </c>
      <c r="B7" s="17" t="s">
        <v>124</v>
      </c>
      <c r="C7" s="19" t="s">
        <v>128</v>
      </c>
      <c r="D7" s="17" t="s">
        <v>64</v>
      </c>
    </row>
    <row r="8" spans="1:4" x14ac:dyDescent="0.25">
      <c r="A8" s="2">
        <v>43683</v>
      </c>
      <c r="B8" s="3" t="s">
        <v>133</v>
      </c>
      <c r="C8" s="18" t="s">
        <v>134</v>
      </c>
      <c r="D8" s="3" t="s">
        <v>64</v>
      </c>
    </row>
    <row r="9" spans="1:4" x14ac:dyDescent="0.25">
      <c r="A9" s="2">
        <v>43802</v>
      </c>
      <c r="B9" s="17" t="s">
        <v>124</v>
      </c>
      <c r="C9" s="19" t="s">
        <v>135</v>
      </c>
      <c r="D9" s="3" t="s">
        <v>64</v>
      </c>
    </row>
    <row r="10" spans="1:4" x14ac:dyDescent="0.25">
      <c r="A10" s="2">
        <v>43885</v>
      </c>
      <c r="B10" s="17" t="s">
        <v>124</v>
      </c>
      <c r="C10" s="19" t="s">
        <v>137</v>
      </c>
      <c r="D10" s="3" t="s">
        <v>64</v>
      </c>
    </row>
    <row r="11" spans="1:4" x14ac:dyDescent="0.25">
      <c r="A11" s="2">
        <v>43915</v>
      </c>
      <c r="B11" s="17" t="s">
        <v>124</v>
      </c>
      <c r="C11" s="18" t="s">
        <v>140</v>
      </c>
      <c r="D11" s="3" t="s">
        <v>64</v>
      </c>
    </row>
    <row r="12" spans="1:4" x14ac:dyDescent="0.25">
      <c r="A12" s="2">
        <v>43834</v>
      </c>
      <c r="B12" s="3" t="s">
        <v>165</v>
      </c>
      <c r="C12" s="18" t="s">
        <v>166</v>
      </c>
      <c r="D12" s="3" t="s">
        <v>167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EEBEAE30ACA4486BA3B769AC8E7B3" ma:contentTypeVersion="12" ma:contentTypeDescription="Create a new document." ma:contentTypeScope="" ma:versionID="ba20be7b2d85012b9712a50ba06c8465">
  <xsd:schema xmlns:xsd="http://www.w3.org/2001/XMLSchema" xmlns:xs="http://www.w3.org/2001/XMLSchema" xmlns:p="http://schemas.microsoft.com/office/2006/metadata/properties" xmlns:ns3="ab699609-c69d-43a1-8629-2e93e90e39dc" xmlns:ns4="04259bc9-b952-4403-93fe-612bd166b96a" targetNamespace="http://schemas.microsoft.com/office/2006/metadata/properties" ma:root="true" ma:fieldsID="cf6812159d7aa579f9baad01a7fc5a6d" ns3:_="" ns4:_="">
    <xsd:import namespace="ab699609-c69d-43a1-8629-2e93e90e39dc"/>
    <xsd:import namespace="04259bc9-b952-4403-93fe-612bd166b96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99609-c69d-43a1-8629-2e93e90e39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59bc9-b952-4403-93fe-612bd166b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71ABB9-FDC8-4A27-8541-AEA62B9F3B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99609-c69d-43a1-8629-2e93e90e39dc"/>
    <ds:schemaRef ds:uri="04259bc9-b952-4403-93fe-612bd166b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0A003D-CFD4-4CCA-A5A0-0E28763FB57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04259bc9-b952-4403-93fe-612bd166b96a"/>
    <ds:schemaRef ds:uri="ab699609-c69d-43a1-8629-2e93e90e39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7714E09-E870-4FF5-92ED-F4079C5EFA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Daily Report</vt:lpstr>
      <vt:lpstr>Data</vt:lpstr>
      <vt:lpstr>WellEz Log</vt:lpstr>
      <vt:lpstr>'Daily Report'!Print_Area</vt:lpstr>
    </vt:vector>
  </TitlesOfParts>
  <Company>WellEz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FlexCel for non-commercial use. http://www.tmssoftware.com</dc:creator>
  <cp:lastModifiedBy>John McLennan</cp:lastModifiedBy>
  <dcterms:created xsi:type="dcterms:W3CDTF">2021-03-04T16:55:23Z</dcterms:created>
  <dcterms:modified xsi:type="dcterms:W3CDTF">2021-03-04T17:16:20Z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0x0101006E4EEBEAE30ACA4486BA3B769AC8E7B3</vt:lpwstr>
  </property>
</Properties>
</file>